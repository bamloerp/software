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394B885-44E2-4AE3-8D8F-A25B79D07A63}" xr6:coauthVersionLast="47" xr6:coauthVersionMax="47" xr10:uidLastSave="{00000000-0000-0000-0000-000000000000}"/>
  <bookViews>
    <workbookView xWindow="-98" yWindow="-98" windowWidth="20715" windowHeight="13276" activeTab="1" xr2:uid="{00000000-000D-0000-FFFF-FFFF00000000}"/>
  </bookViews>
  <sheets>
    <sheet name="Take Off" sheetId="1" r:id="rId1"/>
    <sheet name="MR AND MRS Matavakwa"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4" i="4" l="1"/>
  <c r="F4" i="1" l="1"/>
  <c r="B31" i="1"/>
  <c r="B20" i="1"/>
  <c r="D48" i="1"/>
  <c r="E72" i="4" s="1"/>
  <c r="G72" i="4" s="1"/>
  <c r="H15" i="1"/>
  <c r="E312" i="4" s="1"/>
  <c r="G312" i="4" s="1"/>
  <c r="G314" i="4" s="1"/>
  <c r="E147" i="4" l="1"/>
  <c r="E145" i="4"/>
  <c r="E143" i="4"/>
  <c r="E141" i="4"/>
  <c r="K143" i="4"/>
  <c r="K142" i="4"/>
  <c r="K141" i="4"/>
  <c r="K140" i="4"/>
  <c r="E149" i="4" l="1"/>
  <c r="E332" i="4" l="1"/>
  <c r="E130" i="4"/>
  <c r="E340" i="4" l="1"/>
  <c r="G340" i="4" s="1"/>
  <c r="E338" i="4"/>
  <c r="G338" i="4" s="1"/>
  <c r="E335" i="4"/>
  <c r="G335" i="4" s="1"/>
  <c r="G332" i="4"/>
  <c r="F325" i="4"/>
  <c r="G325" i="4" s="1"/>
  <c r="E319" i="4"/>
  <c r="G319" i="4" s="1"/>
  <c r="G321" i="4" s="1"/>
  <c r="A22" i="1"/>
  <c r="E25" i="1" s="1"/>
  <c r="A33" i="1"/>
  <c r="E36" i="1" s="1"/>
  <c r="F33" i="1" s="1"/>
  <c r="B22" i="1"/>
  <c r="B33" i="1"/>
  <c r="E296" i="4"/>
  <c r="G296" i="4" s="1"/>
  <c r="G22" i="1"/>
  <c r="J12" i="1" s="1"/>
  <c r="E293" i="4" s="1"/>
  <c r="G293" i="4" s="1"/>
  <c r="D45" i="1"/>
  <c r="E54" i="1" s="1"/>
  <c r="E78" i="4" s="1"/>
  <c r="G78" i="4" s="1"/>
  <c r="E45" i="1"/>
  <c r="E76" i="4" s="1"/>
  <c r="G76" i="4" s="1"/>
  <c r="F54" i="1"/>
  <c r="C4" i="1"/>
  <c r="K12" i="1" s="1"/>
  <c r="E287" i="4" s="1"/>
  <c r="G287" i="4" s="1"/>
  <c r="E277" i="4"/>
  <c r="G277" i="4" s="1"/>
  <c r="N6" i="1"/>
  <c r="A12" i="1"/>
  <c r="B12" i="1"/>
  <c r="E251" i="4"/>
  <c r="G251" i="4" s="1"/>
  <c r="E248" i="4"/>
  <c r="G248" i="4" s="1"/>
  <c r="G241" i="4"/>
  <c r="G237" i="4"/>
  <c r="G235" i="4"/>
  <c r="G233" i="4"/>
  <c r="G231" i="4"/>
  <c r="F229" i="4"/>
  <c r="G229" i="4" s="1"/>
  <c r="G227" i="4"/>
  <c r="G225" i="4"/>
  <c r="G223" i="4"/>
  <c r="G221" i="4"/>
  <c r="G219" i="4"/>
  <c r="G217" i="4"/>
  <c r="G215" i="4"/>
  <c r="E213" i="4"/>
  <c r="G213" i="4" s="1"/>
  <c r="G211" i="4"/>
  <c r="G209" i="4"/>
  <c r="G207" i="4"/>
  <c r="G205" i="4"/>
  <c r="G203" i="4"/>
  <c r="G201" i="4"/>
  <c r="G199" i="4"/>
  <c r="G197" i="4"/>
  <c r="G195" i="4"/>
  <c r="G193" i="4"/>
  <c r="G191" i="4"/>
  <c r="G188" i="4"/>
  <c r="G186" i="4"/>
  <c r="G173" i="4"/>
  <c r="G171" i="4"/>
  <c r="G169" i="4"/>
  <c r="G167" i="4"/>
  <c r="G165" i="4"/>
  <c r="G163" i="4"/>
  <c r="G161" i="4"/>
  <c r="G159" i="4"/>
  <c r="G157" i="4"/>
  <c r="G155" i="4"/>
  <c r="G153" i="4"/>
  <c r="G151" i="4"/>
  <c r="B151" i="4"/>
  <c r="B153" i="4" s="1"/>
  <c r="B155" i="4" s="1"/>
  <c r="B157" i="4" s="1"/>
  <c r="B159" i="4" s="1"/>
  <c r="B161" i="4" s="1"/>
  <c r="B163" i="4" s="1"/>
  <c r="B165" i="4" s="1"/>
  <c r="B167" i="4" s="1"/>
  <c r="B169" i="4" s="1"/>
  <c r="B171" i="4" s="1"/>
  <c r="B173" i="4" s="1"/>
  <c r="G149" i="4"/>
  <c r="G147" i="4"/>
  <c r="G145" i="4"/>
  <c r="G143" i="4"/>
  <c r="B143" i="4"/>
  <c r="B145" i="4" s="1"/>
  <c r="B147" i="4" s="1"/>
  <c r="G141" i="4"/>
  <c r="G134" i="4"/>
  <c r="G132" i="4"/>
  <c r="G130" i="4"/>
  <c r="F121" i="4"/>
  <c r="D25" i="1"/>
  <c r="E121" i="4" s="1"/>
  <c r="E114" i="4"/>
  <c r="G114" i="4" s="1"/>
  <c r="F110" i="4"/>
  <c r="G105" i="4"/>
  <c r="F103" i="4"/>
  <c r="F112" i="4" s="1"/>
  <c r="G92" i="4"/>
  <c r="G90" i="4"/>
  <c r="F74" i="4"/>
  <c r="G45" i="1"/>
  <c r="E70" i="4" s="1"/>
  <c r="G70" i="4" s="1"/>
  <c r="F45" i="1"/>
  <c r="E68" i="4" s="1"/>
  <c r="G68" i="4" s="1"/>
  <c r="A54" i="1"/>
  <c r="E66" i="4" s="1"/>
  <c r="G66" i="4" s="1"/>
  <c r="B54" i="1"/>
  <c r="E64" i="4" s="1"/>
  <c r="G64" i="4" s="1"/>
  <c r="F62" i="4"/>
  <c r="F60" i="4"/>
  <c r="G60" i="4" s="1"/>
  <c r="F58" i="4"/>
  <c r="F101" i="4" s="1"/>
  <c r="F56" i="4"/>
  <c r="F123" i="4" s="1"/>
  <c r="F54" i="4"/>
  <c r="G54" i="4"/>
  <c r="F7" i="1"/>
  <c r="E45" i="4" s="1"/>
  <c r="G45" i="4" s="1"/>
  <c r="E7" i="1"/>
  <c r="E43" i="4" s="1"/>
  <c r="G43" i="4" s="1"/>
  <c r="E41" i="4"/>
  <c r="G41" i="4" s="1"/>
  <c r="G12" i="1"/>
  <c r="E39" i="4" s="1"/>
  <c r="G39" i="4" s="1"/>
  <c r="F12" i="1"/>
  <c r="G17" i="4"/>
  <c r="G103" i="4"/>
  <c r="B10" i="1"/>
  <c r="H6" i="1"/>
  <c r="C69" i="1"/>
  <c r="J4" i="1"/>
  <c r="N12" i="1"/>
  <c r="J22" i="1"/>
  <c r="E123" i="4" s="1"/>
  <c r="A15" i="1" l="1"/>
  <c r="G123" i="4"/>
  <c r="D12" i="1"/>
  <c r="D7" i="1" s="1"/>
  <c r="D8" i="1" s="1"/>
  <c r="E33" i="4" s="1"/>
  <c r="G33" i="4" s="1"/>
  <c r="G94" i="4"/>
  <c r="E266" i="4"/>
  <c r="G266" i="4" s="1"/>
  <c r="L12" i="1"/>
  <c r="G136" i="4"/>
  <c r="G242" i="4"/>
  <c r="G360" i="4" s="1"/>
  <c r="G327" i="4"/>
  <c r="G121" i="4"/>
  <c r="G177" i="4"/>
  <c r="G342" i="4"/>
  <c r="C51" i="1"/>
  <c r="A7" i="1"/>
  <c r="I22" i="1"/>
  <c r="F22" i="1"/>
  <c r="F36" i="1"/>
  <c r="E33" i="1" s="1"/>
  <c r="C45" i="1"/>
  <c r="I6" i="1"/>
  <c r="A45" i="1"/>
  <c r="E56" i="4" s="1"/>
  <c r="G56" i="4" s="1"/>
  <c r="E74" i="4"/>
  <c r="G74" i="4" s="1"/>
  <c r="J6" i="1"/>
  <c r="E254" i="4" s="1"/>
  <c r="G254" i="4" s="1"/>
  <c r="K6" i="1"/>
  <c r="E257" i="4" s="1"/>
  <c r="G257" i="4" s="1"/>
  <c r="G7" i="1"/>
  <c r="A25" i="1"/>
  <c r="A28" i="1" s="1"/>
  <c r="F25" i="1"/>
  <c r="E22" i="1" s="1"/>
  <c r="A36" i="1"/>
  <c r="A39" i="1" s="1"/>
  <c r="G27" i="4" l="1"/>
  <c r="E27" i="4"/>
  <c r="B7" i="1"/>
  <c r="B8" i="1" s="1"/>
  <c r="E29" i="4" s="1"/>
  <c r="G29" i="4" s="1"/>
  <c r="A29" i="1"/>
  <c r="A40" i="1"/>
  <c r="L6" i="1"/>
  <c r="E260" i="4" s="1"/>
  <c r="G260" i="4" s="1"/>
  <c r="B15" i="1"/>
  <c r="B16" i="1" s="1"/>
  <c r="E12" i="1"/>
  <c r="G15" i="1" s="1"/>
  <c r="C15" i="1" s="1"/>
  <c r="C16" i="1" s="1"/>
  <c r="G125" i="4"/>
  <c r="G359" i="4" s="1"/>
  <c r="E290" i="4"/>
  <c r="G290" i="4" s="1"/>
  <c r="M6" i="1"/>
  <c r="E263" i="4" s="1"/>
  <c r="G263" i="4" s="1"/>
  <c r="E35" i="4"/>
  <c r="G35" i="4" s="1"/>
  <c r="E307" i="4"/>
  <c r="G307" i="4" s="1"/>
  <c r="B51" i="1"/>
  <c r="G357" i="4"/>
  <c r="H22" i="1"/>
  <c r="D51" i="1"/>
  <c r="D52" i="1" s="1"/>
  <c r="E112" i="4" s="1"/>
  <c r="G112" i="4" s="1"/>
  <c r="E110" i="4"/>
  <c r="G110" i="4" s="1"/>
  <c r="H12" i="1"/>
  <c r="D22" i="1"/>
  <c r="G28" i="1" s="1"/>
  <c r="B28" i="1" s="1"/>
  <c r="B29" i="1" s="1"/>
  <c r="E62" i="4"/>
  <c r="G62" i="4" s="1"/>
  <c r="D33" i="1"/>
  <c r="I12" i="1"/>
  <c r="E284" i="4" s="1"/>
  <c r="G284" i="4" s="1"/>
  <c r="E101" i="4"/>
  <c r="G101" i="4" s="1"/>
  <c r="A51" i="1"/>
  <c r="A52" i="1" s="1"/>
  <c r="C7" i="1" l="1"/>
  <c r="C8" i="1" s="1"/>
  <c r="C28" i="1"/>
  <c r="G268" i="4"/>
  <c r="D16" i="1"/>
  <c r="E47" i="4" s="1"/>
  <c r="G47" i="4" s="1"/>
  <c r="E58" i="4"/>
  <c r="G58" i="4" s="1"/>
  <c r="G299" i="4"/>
  <c r="E274" i="4"/>
  <c r="G274" i="4" s="1"/>
  <c r="G279" i="4" s="1"/>
  <c r="E304" i="4"/>
  <c r="G304" i="4" s="1"/>
  <c r="G309" i="4" s="1"/>
  <c r="E37" i="4"/>
  <c r="G37" i="4" s="1"/>
  <c r="E31" i="4"/>
  <c r="G31" i="4" s="1"/>
  <c r="G116" i="4"/>
  <c r="B36" i="1"/>
  <c r="B45" i="1" l="1"/>
  <c r="B39" i="1"/>
  <c r="G49" i="4"/>
  <c r="G355" i="4" s="1"/>
  <c r="G344" i="4"/>
  <c r="G358" i="4"/>
  <c r="B40" i="1" l="1"/>
  <c r="C40" i="1" s="1"/>
  <c r="C29" i="1" s="1"/>
  <c r="E80" i="4" s="1"/>
  <c r="G80" i="4" s="1"/>
  <c r="G82" i="4" s="1"/>
  <c r="G356" i="4" s="1"/>
  <c r="G363" i="4" s="1"/>
  <c r="G364" i="4" s="1"/>
  <c r="G365" i="4" s="1"/>
  <c r="C39" i="1"/>
  <c r="G345" i="4" l="1"/>
  <c r="G347" i="4" s="1"/>
  <c r="G366" i="4"/>
</calcChain>
</file>

<file path=xl/sharedStrings.xml><?xml version="1.0" encoding="utf-8"?>
<sst xmlns="http://schemas.openxmlformats.org/spreadsheetml/2006/main" count="585" uniqueCount="336">
  <si>
    <t>One Bick wall</t>
  </si>
  <si>
    <t>Half Brick Wall</t>
  </si>
  <si>
    <t>FOUNDATION</t>
  </si>
  <si>
    <t>Total Area</t>
  </si>
  <si>
    <t>Total Perimeter</t>
  </si>
  <si>
    <t xml:space="preserve"> </t>
  </si>
  <si>
    <t>WET TRADE MATERIALS AND SUNDRIES</t>
  </si>
  <si>
    <t>SUBSTRUCTURE ( FOUNDATION )</t>
  </si>
  <si>
    <t>Item</t>
  </si>
  <si>
    <t>Unit</t>
  </si>
  <si>
    <t>Qty</t>
  </si>
  <si>
    <t>Rate</t>
  </si>
  <si>
    <t>Amount</t>
  </si>
  <si>
    <t>Please Note</t>
  </si>
  <si>
    <t>Aggregates and cement include requirements for concrete  bedding  to drainage</t>
  </si>
  <si>
    <t>no</t>
  </si>
  <si>
    <t>River sand</t>
  </si>
  <si>
    <t>Pit sand</t>
  </si>
  <si>
    <t>Imported  inert granular fill/Hrdcore</t>
  </si>
  <si>
    <t>Cement PC 15 (50kg bags)</t>
  </si>
  <si>
    <t>bags</t>
  </si>
  <si>
    <t>Termite Poison</t>
  </si>
  <si>
    <t>litre</t>
  </si>
  <si>
    <t xml:space="preserve">250 Micron black polythene sheeting </t>
  </si>
  <si>
    <t>Brickforce for one brick wall (20 metre rolls) Ref C2</t>
  </si>
  <si>
    <t>rolls</t>
  </si>
  <si>
    <t>Brickforce for half brick wall (20 metre rolls) Ref C2</t>
  </si>
  <si>
    <t>Total Carried to Summary</t>
  </si>
  <si>
    <t>In situ concrete and brickwork</t>
  </si>
  <si>
    <t xml:space="preserve">Pit sand </t>
  </si>
  <si>
    <t>River Sand</t>
  </si>
  <si>
    <t>m³</t>
  </si>
  <si>
    <t>19mm Grenite Quarry Stone aggrecates</t>
  </si>
  <si>
    <t>Damp proof course for one brick wall (22 metre rolls) (230mm)</t>
  </si>
  <si>
    <t>Brickforce for half  brick wall (20 metre rolls)(115mm)</t>
  </si>
  <si>
    <t>Y12 reinforcemet steel</t>
  </si>
  <si>
    <t>length</t>
  </si>
  <si>
    <t>Y10 reinforcement steel</t>
  </si>
  <si>
    <t>Bailing wire</t>
  </si>
  <si>
    <t>kgs</t>
  </si>
  <si>
    <t>METALWORK</t>
  </si>
  <si>
    <t>DOOR FRAMES</t>
  </si>
  <si>
    <t xml:space="preserve"> Door Frame size 815 x 115 mm.</t>
  </si>
  <si>
    <t>Total carried to Summary</t>
  </si>
  <si>
    <t>Internal plaster</t>
  </si>
  <si>
    <t>One coat 1:4 cement plaster and one final coat gypsum plaster finished smooth with a steel float internally</t>
  </si>
  <si>
    <t>Pitsand</t>
  </si>
  <si>
    <t>Cast plaster internal air vent with gauze(ab)</t>
  </si>
  <si>
    <t>External plaster</t>
  </si>
  <si>
    <t>Precast concrete external air vent.(ab)</t>
  </si>
  <si>
    <t>Cement (50kg bags)</t>
  </si>
  <si>
    <t>m3</t>
  </si>
  <si>
    <t>ROOF COVERING</t>
  </si>
  <si>
    <t>Total Carried toSummary</t>
  </si>
  <si>
    <t>STRUCTURAL ROOF TRUSSES</t>
  </si>
  <si>
    <t>ltrs</t>
  </si>
  <si>
    <t>ELECTRICAL TUBING MATERIALS  (PROVISIONAL)</t>
  </si>
  <si>
    <t>DISTRIBUTION BOARDS</t>
  </si>
  <si>
    <t>SWITCHES AND ACCESSORIES</t>
  </si>
  <si>
    <t>25mm Conduits</t>
  </si>
  <si>
    <t>25mm PVC Couplings</t>
  </si>
  <si>
    <t>25mm PVC Nipples</t>
  </si>
  <si>
    <t>19mm Conduits( 6 m lengths)</t>
  </si>
  <si>
    <t>20mm PVC Couplings</t>
  </si>
  <si>
    <t>20mm PVC Nipples</t>
  </si>
  <si>
    <t>Saddles (20mm)</t>
  </si>
  <si>
    <t>4.0x35mm wood screws</t>
  </si>
  <si>
    <t>box</t>
  </si>
  <si>
    <t>Saddles (25mm)</t>
  </si>
  <si>
    <t>B.E conduit</t>
  </si>
  <si>
    <t>B.E coupling</t>
  </si>
  <si>
    <t>B.E saddles</t>
  </si>
  <si>
    <t xml:space="preserve"> Flush  boxes, 6x3</t>
  </si>
  <si>
    <t xml:space="preserve"> Flush  boxes, 3x3</t>
  </si>
  <si>
    <t>Round boxes</t>
  </si>
  <si>
    <t>Solvent cement 500ml</t>
  </si>
  <si>
    <t>Sundries</t>
  </si>
  <si>
    <t>Total carried toSummary</t>
  </si>
  <si>
    <t>LABOUR</t>
  </si>
  <si>
    <t>DESCRIPTION</t>
  </si>
  <si>
    <t>AMOUNT</t>
  </si>
  <si>
    <t>SUB-STRUCTURE</t>
  </si>
  <si>
    <t>Footing brickwork</t>
  </si>
  <si>
    <t>Ramming and Backfilling</t>
  </si>
  <si>
    <t>Slab</t>
  </si>
  <si>
    <t>SUPER STRUCTURE</t>
  </si>
  <si>
    <t>TO RING BEAM</t>
  </si>
  <si>
    <t>Brickwork</t>
  </si>
  <si>
    <t>ABOVE  RING BEAM</t>
  </si>
  <si>
    <t>Shuttering</t>
  </si>
  <si>
    <t>Steel fixing</t>
  </si>
  <si>
    <t>Beam filing</t>
  </si>
  <si>
    <t>PLASTERING</t>
  </si>
  <si>
    <t>Internally</t>
  </si>
  <si>
    <t>Externally</t>
  </si>
  <si>
    <t>TUBING AND CHOPPING</t>
  </si>
  <si>
    <t>TOTAL LABOUR</t>
  </si>
  <si>
    <t xml:space="preserve">TOTAL MATERIALS </t>
  </si>
  <si>
    <t>TOTAL FIX AND SUPPLY</t>
  </si>
  <si>
    <t xml:space="preserve">BILL NO. 01:      PROVISIONAL SUMS </t>
  </si>
  <si>
    <t>CONSTRUCTION COST SUMMARY</t>
  </si>
  <si>
    <t>BUILDER'S WORK</t>
  </si>
  <si>
    <t>SECTION SUMMARY - BUILDER'S WORK</t>
  </si>
  <si>
    <t>FOUNDATIONS</t>
  </si>
  <si>
    <t>SUPERSTRUCTURE BRICKWORK</t>
  </si>
  <si>
    <t>ROOF COVERINGS</t>
  </si>
  <si>
    <t xml:space="preserve">PLASTERING </t>
  </si>
  <si>
    <t xml:space="preserve">SCREEDS </t>
  </si>
  <si>
    <t>TOTAL MEASURED WORKS</t>
  </si>
  <si>
    <t>ADD P&amp;Gs</t>
  </si>
  <si>
    <t>Add 10% contigencies</t>
  </si>
  <si>
    <t>GRAND TOTAL</t>
  </si>
  <si>
    <t>NOTES</t>
  </si>
  <si>
    <t>1)</t>
  </si>
  <si>
    <t xml:space="preserve"> This Works Quotation and Schedule of Materials assumes the following:</t>
  </si>
  <si>
    <t>c) Concrete grade 19 for footings and surface beds</t>
  </si>
  <si>
    <t>d) Mortar Mix 1:3 for  foundation brickwork</t>
  </si>
  <si>
    <t>2)</t>
  </si>
  <si>
    <t xml:space="preserve"> This schedule of materials excludes the following:</t>
  </si>
  <si>
    <t>a) Formwork</t>
  </si>
  <si>
    <t>b) Scaffolding</t>
  </si>
  <si>
    <t>3)</t>
  </si>
  <si>
    <t>Provisional Areas</t>
  </si>
  <si>
    <t>1.Material Transport  Costs</t>
  </si>
  <si>
    <t>4)</t>
  </si>
  <si>
    <t>Points to Note</t>
  </si>
  <si>
    <t>All  internal plastering would be woodfloat with the ecxeption of the following:</t>
  </si>
  <si>
    <t>1.Kitchen &amp; Bathrooms  -These areas would have skimmed plastering above wall tiles for ease of cleaning</t>
  </si>
  <si>
    <t>2.Passage -These areas would have skimmed plastering .</t>
  </si>
  <si>
    <t>5)</t>
  </si>
  <si>
    <t>Exclusions</t>
  </si>
  <si>
    <t>1. Built in Cupboards</t>
  </si>
  <si>
    <t>4.Boundary Wall</t>
  </si>
  <si>
    <t>5. alluminum doors ,they are subject to remeasurement</t>
  </si>
  <si>
    <t>7.All electrical connections</t>
  </si>
  <si>
    <t>8.walls and iron mongary painting</t>
  </si>
  <si>
    <t>9. Painting</t>
  </si>
  <si>
    <t>6)</t>
  </si>
  <si>
    <t>Sources of Prices</t>
  </si>
  <si>
    <t>Material prices from notable suppliers as below</t>
  </si>
  <si>
    <t xml:space="preserve">Barmlo investments </t>
  </si>
  <si>
    <t>PG Timbers</t>
  </si>
  <si>
    <t>Plumbcare</t>
  </si>
  <si>
    <t>Electricare</t>
  </si>
  <si>
    <t>Coventry Road Plasterers</t>
  </si>
  <si>
    <t>Chifen engineering Stone Quaries</t>
  </si>
  <si>
    <t xml:space="preserve">Davies Granite </t>
  </si>
  <si>
    <t>Union hardware</t>
  </si>
  <si>
    <t>NB</t>
  </si>
  <si>
    <t>Labour rates are based on current/prevailing NEC rates.</t>
  </si>
  <si>
    <t>230 wall</t>
  </si>
  <si>
    <t>115 wall</t>
  </si>
  <si>
    <t>Pit Sand</t>
  </si>
  <si>
    <t>BRICKS</t>
  </si>
  <si>
    <t>CEMENT</t>
  </si>
  <si>
    <t>Footing</t>
  </si>
  <si>
    <t>Brick work</t>
  </si>
  <si>
    <t>TOTAL</t>
  </si>
  <si>
    <t>Concrete</t>
  </si>
  <si>
    <t>230mm Brickforce</t>
  </si>
  <si>
    <t>115mm Brickforce</t>
  </si>
  <si>
    <t>Gravel</t>
  </si>
  <si>
    <t>Termite Poisan</t>
  </si>
  <si>
    <t>SUPERSTRURE</t>
  </si>
  <si>
    <t>Ring Beam</t>
  </si>
  <si>
    <t>Inter Plastering</t>
  </si>
  <si>
    <t>Ext Plastering</t>
  </si>
  <si>
    <t>Floors</t>
  </si>
  <si>
    <t>AGGREGATES</t>
  </si>
  <si>
    <t>Rhinoset</t>
  </si>
  <si>
    <t>12mm D/Bars</t>
  </si>
  <si>
    <t>10mm D/Bars</t>
  </si>
  <si>
    <t>230mm Brick Force</t>
  </si>
  <si>
    <t>11mm Brick Force</t>
  </si>
  <si>
    <t>230mm DPC</t>
  </si>
  <si>
    <t>115 mm DPC</t>
  </si>
  <si>
    <t>230mm D/Frames</t>
  </si>
  <si>
    <t>115mm D/Frames</t>
  </si>
  <si>
    <t>ELECTRICALS</t>
  </si>
  <si>
    <t>D/BOX</t>
  </si>
  <si>
    <t>METERBOARD</t>
  </si>
  <si>
    <t>25mm conduit</t>
  </si>
  <si>
    <t>19mm Conduits 6m</t>
  </si>
  <si>
    <t>BRICK WORK</t>
  </si>
  <si>
    <t>Inter Walls Area m2</t>
  </si>
  <si>
    <t>Ext Walls Area m2</t>
  </si>
  <si>
    <t>Lindles D/Bars</t>
  </si>
  <si>
    <t>Burnt Wire</t>
  </si>
  <si>
    <t>Setting out</t>
  </si>
  <si>
    <t>Excavation</t>
  </si>
  <si>
    <t>m2</t>
  </si>
  <si>
    <t>m</t>
  </si>
  <si>
    <t>MATERIALS</t>
  </si>
  <si>
    <t>Site Clearance</t>
  </si>
  <si>
    <t>Setting Out</t>
  </si>
  <si>
    <t>Footing Concrete</t>
  </si>
  <si>
    <t>Footing Brick work</t>
  </si>
  <si>
    <t>B/Filling&amp; Raming</t>
  </si>
  <si>
    <t>Concrete Slab</t>
  </si>
  <si>
    <t>BRICKS to Ringbeam</t>
  </si>
  <si>
    <t>BRICKS Above Ringbeam</t>
  </si>
  <si>
    <t>CEMENT TOTAL</t>
  </si>
  <si>
    <t>B/Work to Ring Beam</t>
  </si>
  <si>
    <t>Above Ring Beam</t>
  </si>
  <si>
    <t>Ring Concrete</t>
  </si>
  <si>
    <t>W/Frame Fitting</t>
  </si>
  <si>
    <t>D/Frame fitting</t>
  </si>
  <si>
    <t>Beam Filling</t>
  </si>
  <si>
    <t>Floors River Sand</t>
  </si>
  <si>
    <t>Pit Sand Internal</t>
  </si>
  <si>
    <t>Pit Sand External</t>
  </si>
  <si>
    <t>152*38mm *6m beams</t>
  </si>
  <si>
    <t>114*38mm*6m beams</t>
  </si>
  <si>
    <t>A.C Fascia Board</t>
  </si>
  <si>
    <t>M10 x 120mm bolts &amp; nuts</t>
  </si>
  <si>
    <t>Single trusse hangers</t>
  </si>
  <si>
    <t>Wood screws 0.4 x 35</t>
  </si>
  <si>
    <t>Wire nails 6''</t>
  </si>
  <si>
    <t>Wire nails 5''</t>
  </si>
  <si>
    <t>Wire nails 4''</t>
  </si>
  <si>
    <t>Wire nails 3''</t>
  </si>
  <si>
    <t>Carbolinium</t>
  </si>
  <si>
    <t>Tying wire</t>
  </si>
  <si>
    <t xml:space="preserve">3. Garage doors </t>
  </si>
  <si>
    <t>6. alluminium windows ,they are subject to remeasurement</t>
  </si>
  <si>
    <t>Excavate in pickable earth below reduced ground level and surplus excavated material to be cartaway to a tip to be found the contractor (cartaway elsewhere measured), depth not exceeding 2 metres</t>
  </si>
  <si>
    <t xml:space="preserve">Allow for laying out the practice of transferring the building design onto the land. </t>
  </si>
  <si>
    <t>One coat 1:4 cement sand plaster finished with a wood float on extenal wall</t>
  </si>
  <si>
    <t>40mm screed to receive floor finishes</t>
  </si>
  <si>
    <t>Cement and sand (1:4) screeds finished to an even surface so as to receive floor finishes (finishes elsewhere measured)</t>
  </si>
  <si>
    <t xml:space="preserve">Supply, install and commission of conduit fittings required and all necessary accessories and fittings to complete the work as specified. </t>
  </si>
  <si>
    <t>item</t>
  </si>
  <si>
    <t xml:space="preserve">SCREED </t>
  </si>
  <si>
    <t xml:space="preserve">Roof truss </t>
  </si>
  <si>
    <t xml:space="preserve">Facia board </t>
  </si>
  <si>
    <t xml:space="preserve">Fixing A.C Facia board  to timber structure </t>
  </si>
  <si>
    <t>Roof Coverings</t>
  </si>
  <si>
    <t>ROOFING</t>
  </si>
  <si>
    <t xml:space="preserve">Brickwork above the wallplate laid in stretcher bond PC cement, laid in 1:4 cement mortar and make good. </t>
  </si>
  <si>
    <t xml:space="preserve">SUPERSTRUCTURE (BRICKWORK, CONCRETE) </t>
  </si>
  <si>
    <t>Description</t>
  </si>
  <si>
    <t xml:space="preserve"> GRANO/POWERVLOAT FLOOR </t>
  </si>
  <si>
    <t>Cutting, joining and assembling roof truss in a designed shape Fixing beam in position complete with all necessary roofing nails, screws or hook as required</t>
  </si>
  <si>
    <t>Floor Slab</t>
  </si>
  <si>
    <t xml:space="preserve">Brickwork in foundation laid in Stretcher bond 1:4 cement mortar mix and reinforcement with brickforce every third corse up to structural slab level. </t>
  </si>
  <si>
    <t>Backfilling to trenches with selected excavated material levelled, well watered and compacted in layers not  exceeding 150mm to engineers approval</t>
  </si>
  <si>
    <t>Brickwork in superstructure laid in stretcher bond , 1:4 cement mortar mix  and reinforced with brickforce every third corse up to the ring beam level.</t>
  </si>
  <si>
    <t>Brickwork in superstructure laid in stretcher bond PC cement, laid in 1:4 cement mortar  reinforced with brickforce every third corse up to the ring beam level.</t>
  </si>
  <si>
    <t xml:space="preserve">19mm Grenite Quarry Stone aggregate </t>
  </si>
  <si>
    <t xml:space="preserve">Single phase meterbox </t>
  </si>
  <si>
    <t>19mm PVC Couplings</t>
  </si>
  <si>
    <t>19mm PVC Nipples</t>
  </si>
  <si>
    <t>Saddles (19mm)</t>
  </si>
  <si>
    <t>25mm female brass bush</t>
  </si>
  <si>
    <t>19mm female bushes</t>
  </si>
  <si>
    <t>25mm PVC to steel adapter</t>
  </si>
  <si>
    <t>6mm extension bolts</t>
  </si>
  <si>
    <t>Damp proof course for half brick wall (22 metre rolls) (115mm)</t>
  </si>
  <si>
    <t>Brickforce for one brick wall (20 metre rolls)  (230mm)</t>
  </si>
  <si>
    <t>Topsoil Excav</t>
  </si>
  <si>
    <t>RC</t>
  </si>
  <si>
    <t>BASE</t>
  </si>
  <si>
    <t>Y16</t>
  </si>
  <si>
    <t>Y10</t>
  </si>
  <si>
    <t>COLUMN</t>
  </si>
  <si>
    <t xml:space="preserve">Concrete Works </t>
  </si>
  <si>
    <t>Concrete Grade 25 (20mm stone ) in footing and in surface beds including  all steel fixing and placing of concrete.</t>
  </si>
  <si>
    <t>100mm minimum 1:2:4 mix concrete floor slab cast independently from vertical walls with vertical malthed membrane and on black polythene sheeting lapped at joints and mesh reinforcement.</t>
  </si>
  <si>
    <t xml:space="preserve">Common bricks </t>
  </si>
  <si>
    <t>Allow for fitting of a radar approved standard pressed steel doorframe with a linning for a 44mm thick door complete with hinges and lugs of the building in.</t>
  </si>
  <si>
    <t>Sawn softwood timber formwork to sides and soffits of the beam.</t>
  </si>
  <si>
    <t>Ring beam and column concrete mixing</t>
  </si>
  <si>
    <t>In-situ concrete reinforced concrete (Grade 20Mpa) including all mixing and placing of concrete.</t>
  </si>
  <si>
    <t>One coat 1:4 cement sand plaster finished with a wood float on internal walls.</t>
  </si>
  <si>
    <t>One coat cement plaster  including all labours with a fine woodfloat finish on external walls.</t>
  </si>
  <si>
    <t>Reinforcement as described including cutting to lengths,bending,wiring and fixing in position etc.</t>
  </si>
  <si>
    <t xml:space="preserve"> ELECTRICALS TUBING</t>
  </si>
  <si>
    <t>e) Assumed  common brick in strecher bond-different bond will require adjustement in quantity</t>
  </si>
  <si>
    <t>Site clearance</t>
  </si>
  <si>
    <t>Clear site of all vegetation, including removal and disposal of all debris, bushes, shrubs, undergrowth, hedges and stumpsnot exceeding 500mm girth and grubbing up roots and filling  in holes with approved material.</t>
  </si>
  <si>
    <t>QUOTATION</t>
  </si>
  <si>
    <t>CUSTOMER INFO</t>
  </si>
  <si>
    <t>QUOTE #</t>
  </si>
  <si>
    <t>DATE</t>
  </si>
  <si>
    <t>CUSTOMER ID</t>
  </si>
  <si>
    <t>VALID UNTIL</t>
  </si>
  <si>
    <t>Standard full profile pressed steel door frames with chromium plated striking plates where appropriate  (building in elsewhere measured)</t>
  </si>
  <si>
    <t>cm³</t>
  </si>
  <si>
    <t>m²</t>
  </si>
  <si>
    <t>a) Foundation depth of 700mm</t>
  </si>
  <si>
    <t>Extra over roll top ridges</t>
  </si>
  <si>
    <t xml:space="preserve">8-10Way DB Flashmounting </t>
  </si>
  <si>
    <t>BM00215</t>
  </si>
  <si>
    <t>AMS01</t>
  </si>
  <si>
    <t>Door Frame Size  815x 230</t>
  </si>
  <si>
    <t>Surface boxes, 6x3</t>
  </si>
  <si>
    <t>Surface boxes, 3x3</t>
  </si>
  <si>
    <t>Double trusse hanger</t>
  </si>
  <si>
    <t>Ref: PROPOSED MAIN  HOUSE CONSTRUCTION</t>
  </si>
  <si>
    <t>TIN  NO:  2000873176</t>
  </si>
  <si>
    <t>VENDOR NO: 718689</t>
  </si>
  <si>
    <t xml:space="preserve">Chasing combs </t>
  </si>
  <si>
    <t>Clout nails</t>
  </si>
  <si>
    <t>Goose Neck pipe</t>
  </si>
  <si>
    <t xml:space="preserve">Angle iron </t>
  </si>
  <si>
    <t>D Iron and schuckle</t>
  </si>
  <si>
    <t xml:space="preserve">DOUBLEROMAN CONCRETE TILES  </t>
  </si>
  <si>
    <t>38*38mm*6m</t>
  </si>
  <si>
    <t>228*38mm*6m</t>
  </si>
  <si>
    <t>Valley gutters   2.4m</t>
  </si>
  <si>
    <t xml:space="preserve">DPC 9 inch </t>
  </si>
  <si>
    <t>Concrete tiles  Double Roman black</t>
  </si>
  <si>
    <t xml:space="preserve">Roll top ridges </t>
  </si>
  <si>
    <t xml:space="preserve">PC 15 cement </t>
  </si>
  <si>
    <t xml:space="preserve">Door   Frame Fittings </t>
  </si>
  <si>
    <t>Double roman  concrete tiles  to purline spaced at approximately 650mm centres  including all necessary straining wires, galvanised hoop iron ties,safe top nails etc.</t>
  </si>
  <si>
    <t>2.Kitchen Fittings,(sanitary fittings) sinks, bath tub, wash hand basin pedestals     WCs</t>
  </si>
  <si>
    <t xml:space="preserve">Name: MR </t>
  </si>
  <si>
    <t xml:space="preserve">Address: </t>
  </si>
  <si>
    <t xml:space="preserve">Phone, E-mail: </t>
  </si>
  <si>
    <t>TIMBER CALCULATION</t>
  </si>
  <si>
    <t>Y16 reinforcemet steel</t>
  </si>
  <si>
    <t>Leng</t>
  </si>
  <si>
    <t>10. Floor Tiles</t>
  </si>
  <si>
    <t>11. Ceiling</t>
  </si>
  <si>
    <t>12. Internal Wall Skimming</t>
  </si>
  <si>
    <t>16mm D/Bars</t>
  </si>
  <si>
    <t>VERANDER</t>
  </si>
  <si>
    <t>Transport</t>
  </si>
  <si>
    <t>Km</t>
  </si>
  <si>
    <t>PROJECT DISTANCE</t>
  </si>
  <si>
    <t>BRICKS T/TRIPS</t>
  </si>
  <si>
    <t>CEMENT T/TRIPS</t>
  </si>
  <si>
    <t>TOTAL CEMENT</t>
  </si>
  <si>
    <t>TOTAL BRICKS</t>
  </si>
  <si>
    <t>TOTAL TRIPS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</si>
</sst>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US$&quot;* #,##0.00_-;\-&quot;US$&quot;* #,##0.00_-;_-&quot;US$&quot;* &quot;-&quot;??_-;_-@_-"/>
    <numFmt numFmtId="165" formatCode="_-* #,##0.00_-;\-* #,##0.00_-;_-* &quot;-&quot;??_-;_-@_-"/>
    <numFmt numFmtId="166" formatCode="_-* #,##0_-;\-* #,##0_-;_-* &quot;-&quot;??_-;_-@"/>
    <numFmt numFmtId="167" formatCode="_-[$$-409]* #,##0.00_ ;_-[$$-409]* \-#,##0.00\ ;_-[$$-409]* &quot;-&quot;??_ ;_-@_ "/>
    <numFmt numFmtId="168" formatCode="_-* #,##0.00_-;\-* #,##0.00_-;_-* &quot;-&quot;??_-;_-@"/>
    <numFmt numFmtId="169" formatCode="0.0"/>
    <numFmt numFmtId="170" formatCode="_-[$$-409]* #,##0.0_ ;_-[$$-409]* \-#,##0.0\ ;_-[$$-409]* &quot;-&quot;??_ ;_-@_ "/>
    <numFmt numFmtId="171" formatCode="_([$$-409]* #,##0.00_);_([$$-409]* \(#,##0.00\);_([$$-409]* &quot;-&quot;??_);_(@_)"/>
  </numFmts>
  <fonts count="26" x14ac:knownFonts="1">
    <font>
      <sz val="11"/>
      <color theme="1"/>
      <name val="Calibri"/>
      <family val="2"/>
      <scheme val="minor"/>
    </font>
    <font>
      <sz val="11"/>
      <color rgb="FFFF0000"/>
      <name val="Calibri"/>
      <family val="2"/>
      <scheme val="minor"/>
    </font>
    <font>
      <b/>
      <sz val="11"/>
      <color theme="1"/>
      <name val="Calibri"/>
      <family val="2"/>
      <scheme val="minor"/>
    </font>
    <font>
      <b/>
      <sz val="10"/>
      <name val="Times New Roman"/>
      <family val="1"/>
    </font>
    <font>
      <b/>
      <sz val="12"/>
      <color theme="1"/>
      <name val="Calibri"/>
      <family val="2"/>
      <scheme val="minor"/>
    </font>
    <font>
      <b/>
      <sz val="14"/>
      <color theme="1"/>
      <name val="Calibri"/>
      <family val="2"/>
      <scheme val="minor"/>
    </font>
    <font>
      <sz val="11"/>
      <color theme="1"/>
      <name val="Calibri"/>
      <family val="2"/>
      <scheme val="minor"/>
    </font>
    <font>
      <sz val="10"/>
      <name val="Arial"/>
      <family val="2"/>
    </font>
    <font>
      <sz val="14"/>
      <color theme="1" tint="0.34998626667073579"/>
      <name val="Times New Roman"/>
      <family val="1"/>
    </font>
    <font>
      <sz val="11"/>
      <color theme="1" tint="0.34998626667073579"/>
      <name val="Times New Roman"/>
      <family val="1"/>
    </font>
    <font>
      <sz val="12"/>
      <color theme="1" tint="0.34998626667073579"/>
      <name val="Times New Roman"/>
      <family val="1"/>
    </font>
    <font>
      <b/>
      <sz val="12"/>
      <color theme="1" tint="0.34998626667073579"/>
      <name val="Times New Roman"/>
      <family val="1"/>
    </font>
    <font>
      <sz val="10"/>
      <color theme="1" tint="0.34998626667073579"/>
      <name val="Times New Roman"/>
      <family val="1"/>
    </font>
    <font>
      <b/>
      <sz val="16"/>
      <color theme="1" tint="0.34998626667073579"/>
      <name val="Times New Roman"/>
      <family val="1"/>
    </font>
    <font>
      <b/>
      <sz val="9"/>
      <color theme="1" tint="0.34998626667073579"/>
      <name val="Times New Roman"/>
      <family val="1"/>
    </font>
    <font>
      <b/>
      <sz val="11"/>
      <color theme="1" tint="0.34998626667073579"/>
      <name val="Times New Roman"/>
      <family val="1"/>
    </font>
    <font>
      <b/>
      <sz val="14"/>
      <color theme="1" tint="0.34998626667073579"/>
      <name val="Times New Roman"/>
      <family val="1"/>
    </font>
    <font>
      <b/>
      <u/>
      <sz val="14"/>
      <color theme="1" tint="0.34998626667073579"/>
      <name val="Times New Roman"/>
      <family val="1"/>
    </font>
    <font>
      <b/>
      <u/>
      <sz val="11"/>
      <color theme="1" tint="0.34998626667073579"/>
      <name val="Times New Roman"/>
      <family val="1"/>
    </font>
    <font>
      <b/>
      <u/>
      <sz val="12"/>
      <color theme="1" tint="0.34998626667073579"/>
      <name val="Times New Roman"/>
      <family val="1"/>
    </font>
    <font>
      <b/>
      <u/>
      <sz val="16"/>
      <color theme="1" tint="0.34998626667073579"/>
      <name val="Times New Roman"/>
      <family val="1"/>
    </font>
    <font>
      <u/>
      <sz val="11"/>
      <color theme="1" tint="0.34998626667073579"/>
      <name val="Times New Roman"/>
      <family val="1"/>
    </font>
    <font>
      <b/>
      <u val="singleAccounting"/>
      <sz val="14"/>
      <color theme="1" tint="0.34998626667073579"/>
      <name val="Times New Roman"/>
      <family val="1"/>
    </font>
    <font>
      <u/>
      <sz val="14"/>
      <color theme="1" tint="0.34998626667073579"/>
      <name val="Times New Roman"/>
      <family val="1"/>
    </font>
    <font>
      <b/>
      <sz val="20"/>
      <color theme="1" tint="0.34998626667073579"/>
      <name val="Times New Roman"/>
      <family val="1"/>
    </font>
    <font>
      <sz val="14"/>
      <color theme="2" tint="-0.499984740745262"/>
      <name val="Times New Roman"/>
      <family val="1"/>
    </font>
  </fonts>
  <fills count="8">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rgb="FFB9CCE4"/>
      </patternFill>
    </fill>
    <fill>
      <patternFill patternType="solid">
        <fgColor theme="4" tint="0.79998168889431442"/>
        <bgColor rgb="FF96B3D7"/>
      </patternFill>
    </fill>
    <fill>
      <patternFill patternType="solid">
        <fgColor theme="0" tint="-0.14999847407452621"/>
        <bgColor indexed="64"/>
      </patternFill>
    </fill>
  </fills>
  <borders count="88">
    <border>
      <left/>
      <right/>
      <top/>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top style="thin">
        <color rgb="FF000000"/>
      </top>
      <bottom style="thin">
        <color rgb="FF000000"/>
      </bottom>
      <diagonal/>
    </border>
    <border>
      <left style="medium">
        <color indexed="64"/>
      </left>
      <right/>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bottom/>
      <diagonal/>
    </border>
    <border>
      <left/>
      <right/>
      <top style="thin">
        <color rgb="FF000000"/>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rgb="FF000000"/>
      </right>
      <top style="thin">
        <color rgb="FF000000"/>
      </top>
      <bottom style="thin">
        <color indexed="64"/>
      </bottom>
      <diagonal/>
    </border>
    <border>
      <left/>
      <right style="thin">
        <color indexed="64"/>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499984740745262"/>
      </bottom>
      <diagonal/>
    </border>
    <border>
      <left/>
      <right/>
      <top style="medium">
        <color theme="0" tint="-0.499984740745262"/>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style="thin">
        <color theme="0" tint="-0.499984740745262"/>
      </right>
      <top/>
      <bottom style="medium">
        <color theme="0" tint="-0.499984740745262"/>
      </bottom>
      <diagonal/>
    </border>
    <border>
      <left/>
      <right/>
      <top style="thin">
        <color theme="0" tint="-0.499984740745262"/>
      </top>
      <bottom/>
      <diagonal/>
    </border>
    <border>
      <left/>
      <right style="thin">
        <color theme="0" tint="-0.499984740745262"/>
      </right>
      <top style="thin">
        <color theme="0" tint="-0.34998626667073579"/>
      </top>
      <bottom style="thin">
        <color theme="0" tint="-0.499984740745262"/>
      </bottom>
      <diagonal/>
    </border>
    <border>
      <left/>
      <right style="thin">
        <color theme="0" tint="-0.499984740745262"/>
      </right>
      <top style="thin">
        <color theme="0" tint="-0.499984740745262"/>
      </top>
      <bottom style="thin">
        <color theme="0" tint="-0.34998626667073579"/>
      </bottom>
      <diagonal/>
    </border>
    <border>
      <left/>
      <right style="thin">
        <color theme="0" tint="-0.499984740745262"/>
      </right>
      <top/>
      <bottom style="thin">
        <color theme="0" tint="-0.499984740745262"/>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style="thin">
        <color theme="0" tint="-0.499984740745262"/>
      </top>
      <bottom style="thin">
        <color theme="0" tint="-0.499984740745262"/>
      </bottom>
      <diagonal/>
    </border>
    <border>
      <left style="thick">
        <color indexed="64"/>
      </left>
      <right/>
      <top style="thin">
        <color theme="0" tint="-0.499984740745262"/>
      </top>
      <bottom/>
      <diagonal/>
    </border>
    <border>
      <left style="thick">
        <color indexed="64"/>
      </left>
      <right/>
      <top/>
      <bottom style="thin">
        <color theme="0" tint="-0.499984740745262"/>
      </bottom>
      <diagonal/>
    </border>
    <border>
      <left style="thick">
        <color indexed="64"/>
      </left>
      <right style="thin">
        <color theme="0" tint="-0.499984740745262"/>
      </right>
      <top style="thin">
        <color theme="0" tint="-0.499984740745262"/>
      </top>
      <bottom style="thin">
        <color theme="0" tint="-0.499984740745262"/>
      </bottom>
      <diagonal/>
    </border>
    <border>
      <left style="thick">
        <color indexed="64"/>
      </left>
      <right style="thin">
        <color theme="0" tint="-0.499984740745262"/>
      </right>
      <top/>
      <bottom/>
      <diagonal/>
    </border>
    <border>
      <left style="thick">
        <color indexed="64"/>
      </left>
      <right/>
      <top style="thin">
        <color rgb="FF000000"/>
      </top>
      <bottom style="thin">
        <color indexed="64"/>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style="thin">
        <color theme="0" tint="-0.499984740745262"/>
      </right>
      <top style="thin">
        <color theme="0" tint="-0.499984740745262"/>
      </top>
      <bottom/>
      <diagonal/>
    </border>
    <border>
      <left style="thick">
        <color indexed="64"/>
      </left>
      <right style="thin">
        <color theme="0" tint="-0.499984740745262"/>
      </right>
      <top/>
      <bottom style="thin">
        <color theme="0" tint="-0.499984740745262"/>
      </bottom>
      <diagonal/>
    </border>
    <border>
      <left style="thick">
        <color indexed="64"/>
      </left>
      <right/>
      <top style="thin">
        <color theme="0" tint="-0.499984740745262"/>
      </top>
      <bottom style="thin">
        <color theme="0" tint="-0.34998626667073579"/>
      </bottom>
      <diagonal/>
    </border>
    <border>
      <left style="thick">
        <color indexed="64"/>
      </left>
      <right style="thin">
        <color theme="0" tint="-0.34998626667073579"/>
      </right>
      <top style="thin">
        <color theme="0" tint="-0.34998626667073579"/>
      </top>
      <bottom style="thin">
        <color theme="0" tint="-0.34998626667073579"/>
      </bottom>
      <diagonal/>
    </border>
    <border>
      <left style="thick">
        <color indexed="64"/>
      </left>
      <right style="thin">
        <color theme="0" tint="-0.34998626667073579"/>
      </right>
      <top/>
      <bottom/>
      <diagonal/>
    </border>
    <border>
      <left style="thick">
        <color indexed="64"/>
      </left>
      <right style="thin">
        <color theme="0" tint="-0.34998626667073579"/>
      </right>
      <top/>
      <bottom style="thin">
        <color theme="0" tint="-0.34998626667073579"/>
      </bottom>
      <diagonal/>
    </border>
    <border>
      <left style="thick">
        <color indexed="64"/>
      </left>
      <right/>
      <top style="thin">
        <color theme="0" tint="-0.34998626667073579"/>
      </top>
      <bottom style="thin">
        <color theme="0" tint="-0.499984740745262"/>
      </bottom>
      <diagonal/>
    </border>
    <border>
      <left style="thick">
        <color indexed="64"/>
      </left>
      <right/>
      <top style="medium">
        <color theme="0" tint="-0.499984740745262"/>
      </top>
      <bottom style="medium">
        <color theme="0" tint="-0.499984740745262"/>
      </bottom>
      <diagonal/>
    </border>
    <border>
      <left style="thick">
        <color indexed="64"/>
      </left>
      <right/>
      <top/>
      <bottom style="medium">
        <color theme="0" tint="-0.499984740745262"/>
      </bottom>
      <diagonal/>
    </border>
    <border>
      <left style="thick">
        <color indexed="64"/>
      </left>
      <right style="medium">
        <color theme="0" tint="-0.499984740745262"/>
      </right>
      <top style="medium">
        <color theme="0" tint="-0.499984740745262"/>
      </top>
      <bottom style="medium">
        <color theme="0" tint="-0.499984740745262"/>
      </bottom>
      <diagonal/>
    </border>
    <border>
      <left style="thick">
        <color indexed="64"/>
      </left>
      <right style="medium">
        <color theme="0" tint="-0.499984740745262"/>
      </right>
      <top/>
      <bottom/>
      <diagonal/>
    </border>
    <border>
      <left style="thick">
        <color indexed="64"/>
      </left>
      <right style="medium">
        <color theme="0" tint="-0.499984740745262"/>
      </right>
      <top style="medium">
        <color theme="0" tint="-0.499984740745262"/>
      </top>
      <bottom/>
      <diagonal/>
    </border>
    <border>
      <left style="thick">
        <color indexed="64"/>
      </left>
      <right style="medium">
        <color theme="0" tint="-0.499984740745262"/>
      </right>
      <top/>
      <bottom style="medium">
        <color theme="0" tint="-0.499984740745262"/>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0" tint="-0.499984740745262"/>
      </left>
      <right style="thick">
        <color indexed="64"/>
      </right>
      <top style="thin">
        <color theme="0" tint="-0.499984740745262"/>
      </top>
      <bottom style="thin">
        <color theme="0" tint="-0.499984740745262"/>
      </bottom>
      <diagonal/>
    </border>
    <border>
      <left style="thin">
        <color theme="0" tint="-0.499984740745262"/>
      </left>
      <right style="thick">
        <color indexed="64"/>
      </right>
      <top/>
      <bottom/>
      <diagonal/>
    </border>
    <border>
      <left style="thin">
        <color rgb="FF000000"/>
      </left>
      <right style="thick">
        <color indexed="64"/>
      </right>
      <top style="thin">
        <color rgb="FF000000"/>
      </top>
      <bottom style="thin">
        <color indexed="64"/>
      </bottom>
      <diagonal/>
    </border>
    <border>
      <left/>
      <right style="thick">
        <color indexed="64"/>
      </right>
      <top/>
      <bottom style="thin">
        <color theme="0" tint="-0.499984740745262"/>
      </bottom>
      <diagonal/>
    </border>
    <border>
      <left style="thin">
        <color rgb="FF000000"/>
      </left>
      <right style="thick">
        <color indexed="64"/>
      </right>
      <top style="thin">
        <color rgb="FF000000"/>
      </top>
      <bottom style="thin">
        <color rgb="FF000000"/>
      </bottom>
      <diagonal/>
    </border>
    <border>
      <left style="thin">
        <color rgb="FF000000"/>
      </left>
      <right style="thick">
        <color indexed="64"/>
      </right>
      <top/>
      <bottom/>
      <diagonal/>
    </border>
    <border>
      <left/>
      <right style="thick">
        <color indexed="64"/>
      </right>
      <top style="thin">
        <color rgb="FF000000"/>
      </top>
      <bottom style="thin">
        <color rgb="FF000000"/>
      </bottom>
      <diagonal/>
    </border>
    <border>
      <left/>
      <right style="thick">
        <color indexed="64"/>
      </right>
      <top style="thin">
        <color rgb="FF000000"/>
      </top>
      <bottom/>
      <diagonal/>
    </border>
    <border>
      <left style="thin">
        <color theme="0" tint="-0.499984740745262"/>
      </left>
      <right style="thick">
        <color indexed="64"/>
      </right>
      <top style="thin">
        <color theme="0" tint="-0.499984740745262"/>
      </top>
      <bottom/>
      <diagonal/>
    </border>
    <border>
      <left style="thin">
        <color indexed="64"/>
      </left>
      <right style="thick">
        <color indexed="64"/>
      </right>
      <top/>
      <bottom/>
      <diagonal/>
    </border>
    <border>
      <left style="thin">
        <color theme="0" tint="-0.499984740745262"/>
      </left>
      <right style="thick">
        <color indexed="64"/>
      </right>
      <top/>
      <bottom style="thin">
        <color theme="0" tint="-0.499984740745262"/>
      </bottom>
      <diagonal/>
    </border>
    <border>
      <left style="thin">
        <color indexed="64"/>
      </left>
      <right style="thick">
        <color indexed="64"/>
      </right>
      <top style="thin">
        <color theme="0" tint="-0.499984740745262"/>
      </top>
      <bottom style="thin">
        <color theme="0" tint="-0.499984740745262"/>
      </bottom>
      <diagonal/>
    </border>
    <border>
      <left style="thin">
        <color theme="0" tint="-0.34998626667073579"/>
      </left>
      <right style="thick">
        <color indexed="64"/>
      </right>
      <top style="thin">
        <color theme="0" tint="-0.34998626667073579"/>
      </top>
      <bottom style="thin">
        <color theme="0" tint="-0.34998626667073579"/>
      </bottom>
      <diagonal/>
    </border>
    <border>
      <left style="thin">
        <color theme="0" tint="-0.34998626667073579"/>
      </left>
      <right style="thick">
        <color indexed="64"/>
      </right>
      <top/>
      <bottom/>
      <diagonal/>
    </border>
    <border>
      <left style="thin">
        <color theme="0" tint="-0.34998626667073579"/>
      </left>
      <right style="thick">
        <color indexed="64"/>
      </right>
      <top/>
      <bottom style="thin">
        <color theme="0" tint="-0.34998626667073579"/>
      </bottom>
      <diagonal/>
    </border>
    <border>
      <left style="thin">
        <color theme="0" tint="-0.499984740745262"/>
      </left>
      <right style="thick">
        <color indexed="64"/>
      </right>
      <top style="thin">
        <color theme="0" tint="-0.34998626667073579"/>
      </top>
      <bottom style="thin">
        <color theme="0" tint="-0.499984740745262"/>
      </bottom>
      <diagonal/>
    </border>
    <border>
      <left style="medium">
        <color theme="0" tint="-0.499984740745262"/>
      </left>
      <right style="thick">
        <color indexed="64"/>
      </right>
      <top style="medium">
        <color theme="0" tint="-0.499984740745262"/>
      </top>
      <bottom style="medium">
        <color theme="0" tint="-0.499984740745262"/>
      </bottom>
      <diagonal/>
    </border>
    <border>
      <left/>
      <right style="thick">
        <color indexed="64"/>
      </right>
      <top style="medium">
        <color theme="0" tint="-0.499984740745262"/>
      </top>
      <bottom style="medium">
        <color theme="0" tint="-0.499984740745262"/>
      </bottom>
      <diagonal/>
    </border>
    <border>
      <left style="medium">
        <color theme="0" tint="-0.499984740745262"/>
      </left>
      <right style="thick">
        <color indexed="64"/>
      </right>
      <top/>
      <bottom/>
      <diagonal/>
    </border>
    <border>
      <left style="medium">
        <color theme="0" tint="-0.499984740745262"/>
      </left>
      <right style="thick">
        <color indexed="64"/>
      </right>
      <top style="medium">
        <color theme="0" tint="-0.499984740745262"/>
      </top>
      <bottom/>
      <diagonal/>
    </border>
    <border>
      <left/>
      <right style="thin">
        <color indexed="64"/>
      </right>
      <top/>
      <bottom style="thin">
        <color theme="0" tint="-0.499984740745262"/>
      </bottom>
      <diagonal/>
    </border>
    <border>
      <left style="thin">
        <color theme="0" tint="-0.499984740745262"/>
      </left>
      <right style="thin">
        <color indexed="64"/>
      </right>
      <top/>
      <bottom/>
      <diagonal/>
    </border>
    <border>
      <left/>
      <right style="thin">
        <color rgb="FF000000"/>
      </right>
      <top/>
      <bottom/>
      <diagonal/>
    </border>
  </borders>
  <cellStyleXfs count="8">
    <xf numFmtId="0" fontId="0" fillId="0" borderId="0"/>
    <xf numFmtId="165" fontId="6" fillId="0" borderId="0" applyFont="0" applyFill="0" applyBorder="0" applyAlignment="0" applyProtection="0"/>
    <xf numFmtId="0" fontId="7" fillId="0" borderId="0">
      <protection locked="0"/>
    </xf>
    <xf numFmtId="165" fontId="6" fillId="0" borderId="0" applyFont="0" applyFill="0" applyBorder="0" applyAlignment="0" applyProtection="0"/>
    <xf numFmtId="164" fontId="6" fillId="0" borderId="0" applyFont="0" applyFill="0" applyBorder="0" applyAlignment="0" applyProtection="0"/>
    <xf numFmtId="0" fontId="6" fillId="0" borderId="0"/>
    <xf numFmtId="164" fontId="6" fillId="0" borderId="0" applyFont="0" applyFill="0" applyBorder="0" applyAlignment="0" applyProtection="0"/>
    <xf numFmtId="9" fontId="6" fillId="0" borderId="0" applyFont="0" applyFill="0" applyBorder="0" applyAlignment="0" applyProtection="0"/>
  </cellStyleXfs>
  <cellXfs count="400">
    <xf numFmtId="0" fontId="0" fillId="0" borderId="0" xfId="0"/>
    <xf numFmtId="0" fontId="0" fillId="0" borderId="0" xfId="0" applyAlignment="1">
      <alignment horizontal="left"/>
    </xf>
    <xf numFmtId="0" fontId="3" fillId="0" borderId="3" xfId="0" applyFont="1" applyBorder="1"/>
    <xf numFmtId="0" fontId="2" fillId="0" borderId="0" xfId="0" applyFont="1" applyAlignment="1">
      <alignment horizontal="left"/>
    </xf>
    <xf numFmtId="1" fontId="0" fillId="0" borderId="0" xfId="0" applyNumberFormat="1" applyAlignment="1">
      <alignment horizontal="left"/>
    </xf>
    <xf numFmtId="2" fontId="0" fillId="0" borderId="0" xfId="0" applyNumberFormat="1" applyAlignment="1">
      <alignment horizontal="left"/>
    </xf>
    <xf numFmtId="169" fontId="0" fillId="0" borderId="0" xfId="0" applyNumberFormat="1" applyAlignment="1">
      <alignment horizontal="left"/>
    </xf>
    <xf numFmtId="0" fontId="4" fillId="0" borderId="0" xfId="0" applyFont="1" applyAlignment="1">
      <alignment horizontal="left"/>
    </xf>
    <xf numFmtId="0" fontId="5" fillId="0" borderId="0" xfId="0" applyFont="1" applyAlignment="1">
      <alignment horizontal="left"/>
    </xf>
    <xf numFmtId="0" fontId="3" fillId="0" borderId="0" xfId="0" applyFont="1"/>
    <xf numFmtId="0" fontId="1" fillId="0" borderId="0" xfId="0" applyFont="1" applyAlignment="1">
      <alignment horizontal="left"/>
    </xf>
    <xf numFmtId="1" fontId="1" fillId="0" borderId="0" xfId="0" applyNumberFormat="1" applyFont="1" applyAlignment="1">
      <alignment horizontal="left"/>
    </xf>
    <xf numFmtId="1" fontId="2" fillId="0" borderId="0" xfId="0" applyNumberFormat="1" applyFont="1" applyAlignment="1">
      <alignment horizontal="left"/>
    </xf>
    <xf numFmtId="0" fontId="3" fillId="0" borderId="2" xfId="0" applyFont="1" applyBorder="1"/>
    <xf numFmtId="0" fontId="0" fillId="0" borderId="5" xfId="0" applyBorder="1" applyAlignment="1">
      <alignment horizontal="left"/>
    </xf>
    <xf numFmtId="0" fontId="4" fillId="0" borderId="5" xfId="0" applyFont="1" applyBorder="1" applyAlignment="1">
      <alignment horizontal="left"/>
    </xf>
    <xf numFmtId="0" fontId="2" fillId="0" borderId="5" xfId="0" applyFont="1" applyBorder="1" applyAlignment="1">
      <alignment horizontal="left"/>
    </xf>
    <xf numFmtId="2" fontId="0" fillId="0" borderId="5" xfId="0" applyNumberFormat="1" applyBorder="1" applyAlignment="1">
      <alignment horizontal="left"/>
    </xf>
    <xf numFmtId="1" fontId="0" fillId="0" borderId="5" xfId="0" applyNumberFormat="1" applyBorder="1" applyAlignment="1">
      <alignment horizontal="left"/>
    </xf>
    <xf numFmtId="2" fontId="1" fillId="0" borderId="0" xfId="0" applyNumberFormat="1" applyFont="1" applyAlignment="1">
      <alignment horizontal="left"/>
    </xf>
    <xf numFmtId="0" fontId="8" fillId="0" borderId="18" xfId="0" applyFont="1" applyBorder="1" applyAlignment="1">
      <alignment vertical="center" wrapText="1"/>
    </xf>
    <xf numFmtId="0" fontId="8" fillId="0" borderId="18" xfId="0" applyFont="1" applyBorder="1"/>
    <xf numFmtId="0" fontId="10" fillId="0" borderId="18" xfId="0" applyFont="1" applyBorder="1" applyAlignment="1">
      <alignment horizontal="center"/>
    </xf>
    <xf numFmtId="167" fontId="10" fillId="0" borderId="18" xfId="0" applyNumberFormat="1" applyFont="1" applyBorder="1" applyAlignment="1">
      <alignment horizontal="center"/>
    </xf>
    <xf numFmtId="1" fontId="10" fillId="0" borderId="18" xfId="0" applyNumberFormat="1" applyFont="1" applyBorder="1" applyAlignment="1">
      <alignment horizontal="center"/>
    </xf>
    <xf numFmtId="0" fontId="8" fillId="0" borderId="18" xfId="0" applyFont="1" applyBorder="1" applyAlignment="1">
      <alignment horizontal="left"/>
    </xf>
    <xf numFmtId="0" fontId="8" fillId="0" borderId="18" xfId="0" applyFont="1" applyBorder="1" applyAlignment="1">
      <alignment wrapText="1"/>
    </xf>
    <xf numFmtId="0" fontId="11" fillId="0" borderId="0" xfId="0" applyFont="1"/>
    <xf numFmtId="0" fontId="9" fillId="0" borderId="0" xfId="0" applyFont="1" applyAlignment="1">
      <alignment horizontal="center"/>
    </xf>
    <xf numFmtId="0" fontId="10" fillId="0" borderId="0" xfId="0" applyFont="1" applyAlignment="1">
      <alignment horizontal="center"/>
    </xf>
    <xf numFmtId="0" fontId="8" fillId="0" borderId="0" xfId="0" applyFont="1"/>
    <xf numFmtId="0" fontId="10" fillId="0" borderId="0" xfId="0" applyFont="1"/>
    <xf numFmtId="0" fontId="10" fillId="0" borderId="0" xfId="0" applyFont="1" applyAlignment="1">
      <alignment vertical="center"/>
    </xf>
    <xf numFmtId="1" fontId="10" fillId="0" borderId="0" xfId="0" applyNumberFormat="1" applyFont="1" applyAlignment="1">
      <alignment vertical="center"/>
    </xf>
    <xf numFmtId="0" fontId="9" fillId="0" borderId="16" xfId="0" applyFont="1" applyBorder="1" applyAlignment="1">
      <alignment horizontal="center"/>
    </xf>
    <xf numFmtId="0" fontId="10" fillId="0" borderId="17" xfId="0" applyFont="1" applyBorder="1" applyAlignment="1">
      <alignment horizontal="center"/>
    </xf>
    <xf numFmtId="167" fontId="10" fillId="0" borderId="17" xfId="0" applyNumberFormat="1" applyFont="1" applyBorder="1" applyAlignment="1">
      <alignment horizontal="center"/>
    </xf>
    <xf numFmtId="0" fontId="17" fillId="0" borderId="18" xfId="0" applyFont="1" applyBorder="1"/>
    <xf numFmtId="0" fontId="18" fillId="0" borderId="18" xfId="0" applyFont="1" applyBorder="1" applyAlignment="1">
      <alignment horizontal="center"/>
    </xf>
    <xf numFmtId="0" fontId="19" fillId="0" borderId="18" xfId="0" applyFont="1" applyBorder="1" applyAlignment="1">
      <alignment horizontal="center"/>
    </xf>
    <xf numFmtId="167" fontId="19" fillId="0" borderId="18" xfId="0" applyNumberFormat="1" applyFont="1" applyBorder="1" applyAlignment="1">
      <alignment horizontal="center"/>
    </xf>
    <xf numFmtId="0" fontId="8" fillId="0" borderId="18" xfId="0" applyFont="1" applyBorder="1" applyAlignment="1">
      <alignment horizontal="left" vertical="top" wrapText="1"/>
    </xf>
    <xf numFmtId="0" fontId="8" fillId="0" borderId="18" xfId="0" applyFont="1" applyBorder="1" applyAlignment="1">
      <alignment vertical="top" wrapText="1"/>
    </xf>
    <xf numFmtId="0" fontId="9" fillId="0" borderId="0" xfId="0" applyFont="1" applyAlignment="1">
      <alignment horizontal="center" vertical="top"/>
    </xf>
    <xf numFmtId="167" fontId="10" fillId="0" borderId="18" xfId="0" applyNumberFormat="1" applyFont="1" applyBorder="1"/>
    <xf numFmtId="0" fontId="8" fillId="0" borderId="18" xfId="0" applyFont="1" applyBorder="1" applyAlignment="1">
      <alignment horizontal="right"/>
    </xf>
    <xf numFmtId="0" fontId="9" fillId="0" borderId="18" xfId="0" applyFont="1" applyBorder="1" applyAlignment="1">
      <alignment horizontal="center"/>
    </xf>
    <xf numFmtId="0" fontId="17" fillId="0" borderId="18" xfId="0" applyFont="1" applyBorder="1" applyAlignment="1">
      <alignment wrapText="1"/>
    </xf>
    <xf numFmtId="0" fontId="10" fillId="0" borderId="18" xfId="0" applyFont="1" applyBorder="1" applyAlignment="1">
      <alignment horizontal="center" vertical="top"/>
    </xf>
    <xf numFmtId="0" fontId="10" fillId="0" borderId="18" xfId="0" applyFont="1" applyBorder="1" applyAlignment="1">
      <alignment horizontal="left"/>
    </xf>
    <xf numFmtId="0" fontId="20" fillId="0" borderId="3" xfId="0" applyFont="1" applyBorder="1"/>
    <xf numFmtId="0" fontId="9" fillId="0" borderId="3" xfId="0" applyFont="1" applyBorder="1" applyAlignment="1">
      <alignment horizontal="center"/>
    </xf>
    <xf numFmtId="0" fontId="10" fillId="0" borderId="2" xfId="0" applyFont="1" applyBorder="1" applyAlignment="1">
      <alignment horizontal="center"/>
    </xf>
    <xf numFmtId="167" fontId="10" fillId="0" borderId="2" xfId="0" applyNumberFormat="1" applyFont="1" applyBorder="1" applyAlignment="1">
      <alignment horizontal="center"/>
    </xf>
    <xf numFmtId="0" fontId="17" fillId="0" borderId="3" xfId="0" applyFont="1" applyBorder="1" applyAlignment="1">
      <alignment wrapText="1"/>
    </xf>
    <xf numFmtId="0" fontId="17" fillId="0" borderId="3" xfId="0" applyFont="1" applyBorder="1"/>
    <xf numFmtId="0" fontId="8" fillId="0" borderId="3" xfId="0" applyFont="1" applyBorder="1"/>
    <xf numFmtId="0" fontId="9" fillId="0" borderId="2" xfId="0" applyFont="1" applyBorder="1" applyAlignment="1">
      <alignment horizontal="center"/>
    </xf>
    <xf numFmtId="0" fontId="11" fillId="0" borderId="1" xfId="0" applyFont="1" applyBorder="1" applyAlignment="1">
      <alignment horizontal="center"/>
    </xf>
    <xf numFmtId="167" fontId="10" fillId="0" borderId="1" xfId="0" applyNumberFormat="1" applyFont="1" applyBorder="1" applyAlignment="1">
      <alignment horizontal="center"/>
    </xf>
    <xf numFmtId="0" fontId="10" fillId="0" borderId="19" xfId="0" applyFont="1" applyBorder="1" applyAlignment="1">
      <alignment horizontal="center"/>
    </xf>
    <xf numFmtId="167" fontId="10" fillId="0" borderId="19" xfId="0" applyNumberFormat="1" applyFont="1" applyBorder="1" applyAlignment="1">
      <alignment horizontal="center"/>
    </xf>
    <xf numFmtId="167" fontId="10" fillId="0" borderId="0" xfId="1" applyNumberFormat="1" applyFont="1" applyBorder="1" applyAlignment="1">
      <alignment horizontal="center"/>
    </xf>
    <xf numFmtId="167" fontId="8" fillId="0" borderId="0" xfId="0" applyNumberFormat="1" applyFont="1"/>
    <xf numFmtId="167" fontId="10" fillId="0" borderId="0" xfId="0" applyNumberFormat="1" applyFont="1"/>
    <xf numFmtId="167" fontId="10" fillId="0" borderId="17" xfId="1" applyNumberFormat="1" applyFont="1" applyBorder="1" applyAlignment="1">
      <alignment horizontal="center"/>
    </xf>
    <xf numFmtId="0" fontId="10" fillId="0" borderId="20" xfId="0" applyFont="1" applyBorder="1" applyAlignment="1">
      <alignment horizontal="center"/>
    </xf>
    <xf numFmtId="0" fontId="11" fillId="0" borderId="0" xfId="0" applyFont="1" applyAlignment="1">
      <alignment vertical="center"/>
    </xf>
    <xf numFmtId="0" fontId="15" fillId="0" borderId="18" xfId="0" applyFont="1" applyBorder="1" applyAlignment="1">
      <alignment horizontal="center"/>
    </xf>
    <xf numFmtId="0" fontId="18" fillId="0" borderId="18" xfId="0" applyFont="1" applyBorder="1"/>
    <xf numFmtId="167" fontId="15" fillId="0" borderId="18" xfId="0" applyNumberFormat="1" applyFont="1" applyBorder="1"/>
    <xf numFmtId="0" fontId="17" fillId="0" borderId="19" xfId="0" applyFont="1" applyBorder="1"/>
    <xf numFmtId="0" fontId="9" fillId="0" borderId="18" xfId="0" applyFont="1" applyBorder="1" applyAlignment="1">
      <alignment horizontal="center" wrapText="1"/>
    </xf>
    <xf numFmtId="0" fontId="16" fillId="0" borderId="1" xfId="0" applyFont="1" applyBorder="1" applyAlignment="1">
      <alignment horizontal="right"/>
    </xf>
    <xf numFmtId="0" fontId="15" fillId="0" borderId="1" xfId="0" applyFont="1" applyBorder="1" applyAlignment="1">
      <alignment horizontal="center"/>
    </xf>
    <xf numFmtId="0" fontId="9" fillId="0" borderId="19" xfId="0" applyFont="1" applyBorder="1" applyAlignment="1">
      <alignment horizontal="center"/>
    </xf>
    <xf numFmtId="0" fontId="17" fillId="0" borderId="20" xfId="0" applyFont="1" applyBorder="1" applyAlignment="1">
      <alignment horizontal="left" wrapText="1"/>
    </xf>
    <xf numFmtId="0" fontId="9" fillId="0" borderId="20" xfId="0" applyFont="1" applyBorder="1" applyAlignment="1">
      <alignment horizontal="center"/>
    </xf>
    <xf numFmtId="0" fontId="15" fillId="0" borderId="11" xfId="0" applyFont="1" applyBorder="1" applyAlignment="1">
      <alignment horizontal="center"/>
    </xf>
    <xf numFmtId="0" fontId="11" fillId="0" borderId="11" xfId="0" applyFont="1" applyBorder="1" applyAlignment="1">
      <alignment horizontal="center"/>
    </xf>
    <xf numFmtId="167" fontId="10" fillId="0" borderId="17" xfId="1" applyNumberFormat="1" applyFont="1" applyFill="1" applyBorder="1" applyAlignment="1">
      <alignment horizontal="center"/>
    </xf>
    <xf numFmtId="0" fontId="17" fillId="0" borderId="20" xfId="0" quotePrefix="1" applyFont="1" applyBorder="1" applyAlignment="1">
      <alignment horizontal="right"/>
    </xf>
    <xf numFmtId="167" fontId="10" fillId="0" borderId="22" xfId="0" applyNumberFormat="1" applyFont="1" applyBorder="1" applyAlignment="1">
      <alignment horizontal="center"/>
    </xf>
    <xf numFmtId="0" fontId="21" fillId="0" borderId="18" xfId="0" applyFont="1" applyBorder="1" applyAlignment="1">
      <alignment horizontal="center"/>
    </xf>
    <xf numFmtId="0" fontId="23" fillId="0" borderId="18" xfId="0" applyFont="1" applyBorder="1" applyAlignment="1">
      <alignment horizontal="left"/>
    </xf>
    <xf numFmtId="167" fontId="10" fillId="0" borderId="20" xfId="0" applyNumberFormat="1" applyFont="1" applyBorder="1"/>
    <xf numFmtId="0" fontId="19" fillId="0" borderId="18" xfId="0" applyFont="1" applyBorder="1" applyAlignment="1">
      <alignment horizontal="left"/>
    </xf>
    <xf numFmtId="0" fontId="10" fillId="0" borderId="18" xfId="0" applyFont="1" applyBorder="1" applyAlignment="1">
      <alignment horizontal="center" vertical="center"/>
    </xf>
    <xf numFmtId="0" fontId="17" fillId="0" borderId="18" xfId="0" applyFont="1" applyBorder="1" applyAlignment="1">
      <alignment horizontal="left"/>
    </xf>
    <xf numFmtId="0" fontId="8" fillId="0" borderId="18" xfId="0" applyFont="1" applyBorder="1" applyAlignment="1">
      <alignment horizontal="left" wrapText="1"/>
    </xf>
    <xf numFmtId="0" fontId="8" fillId="0" borderId="20" xfId="0" applyFont="1" applyBorder="1" applyAlignment="1">
      <alignment horizontal="left"/>
    </xf>
    <xf numFmtId="0" fontId="23" fillId="0" borderId="18" xfId="0" applyFont="1" applyBorder="1"/>
    <xf numFmtId="0" fontId="8" fillId="0" borderId="20" xfId="0" applyFont="1" applyBorder="1" applyAlignment="1">
      <alignment horizontal="left" vertical="top" wrapText="1"/>
    </xf>
    <xf numFmtId="0" fontId="8" fillId="0" borderId="20" xfId="0" applyFont="1" applyBorder="1" applyAlignment="1">
      <alignment vertical="top" wrapText="1"/>
    </xf>
    <xf numFmtId="0" fontId="17" fillId="0" borderId="19" xfId="0" applyFont="1" applyBorder="1" applyAlignment="1">
      <alignment horizontal="left"/>
    </xf>
    <xf numFmtId="0" fontId="10" fillId="0" borderId="19" xfId="0" applyFont="1" applyBorder="1" applyAlignment="1">
      <alignment horizontal="center" vertical="center"/>
    </xf>
    <xf numFmtId="167" fontId="10" fillId="0" borderId="19" xfId="0" applyNumberFormat="1" applyFont="1" applyBorder="1"/>
    <xf numFmtId="0" fontId="9" fillId="0" borderId="24" xfId="0" applyFont="1" applyBorder="1" applyAlignment="1">
      <alignment horizontal="center"/>
    </xf>
    <xf numFmtId="0" fontId="17" fillId="0" borderId="24" xfId="0" applyFont="1" applyBorder="1" applyAlignment="1">
      <alignment horizontal="left"/>
    </xf>
    <xf numFmtId="0" fontId="10" fillId="0" borderId="24" xfId="0" applyFont="1" applyBorder="1" applyAlignment="1">
      <alignment horizontal="center" vertical="center"/>
    </xf>
    <xf numFmtId="167" fontId="10" fillId="0" borderId="24" xfId="0" applyNumberFormat="1" applyFont="1" applyBorder="1"/>
    <xf numFmtId="0" fontId="8" fillId="0" borderId="24" xfId="0" applyFont="1" applyBorder="1" applyAlignment="1">
      <alignment horizontal="left" vertical="top" wrapText="1"/>
    </xf>
    <xf numFmtId="0" fontId="8" fillId="0" borderId="24" xfId="0" applyFont="1" applyBorder="1" applyAlignment="1">
      <alignment vertical="top" wrapText="1"/>
    </xf>
    <xf numFmtId="0" fontId="8" fillId="0" borderId="25" xfId="0" applyFont="1" applyBorder="1" applyAlignment="1">
      <alignment vertical="top" wrapText="1"/>
    </xf>
    <xf numFmtId="0" fontId="9" fillId="0" borderId="25" xfId="0" applyFont="1" applyBorder="1" applyAlignment="1">
      <alignment horizontal="center"/>
    </xf>
    <xf numFmtId="1" fontId="10" fillId="0" borderId="25" xfId="0" applyNumberFormat="1" applyFont="1" applyBorder="1" applyAlignment="1">
      <alignment horizontal="center"/>
    </xf>
    <xf numFmtId="167" fontId="10" fillId="0" borderId="25" xfId="0" applyNumberFormat="1" applyFont="1" applyBorder="1"/>
    <xf numFmtId="0" fontId="8" fillId="0" borderId="19" xfId="0" applyFont="1" applyBorder="1" applyAlignment="1">
      <alignment wrapText="1"/>
    </xf>
    <xf numFmtId="0" fontId="8" fillId="0" borderId="19" xfId="0" applyFont="1" applyBorder="1" applyAlignment="1">
      <alignment horizontal="left" wrapText="1"/>
    </xf>
    <xf numFmtId="0" fontId="8" fillId="0" borderId="20" xfId="0" applyFont="1" applyBorder="1" applyAlignment="1">
      <alignment horizontal="left" wrapText="1"/>
    </xf>
    <xf numFmtId="0" fontId="17" fillId="0" borderId="18" xfId="2" applyFont="1" applyBorder="1" applyAlignment="1" applyProtection="1">
      <alignment horizontal="left" wrapText="1"/>
    </xf>
    <xf numFmtId="0" fontId="9" fillId="2" borderId="29" xfId="0" applyFont="1" applyFill="1" applyBorder="1" applyAlignment="1">
      <alignment horizontal="center"/>
    </xf>
    <xf numFmtId="0" fontId="11" fillId="2" borderId="29" xfId="0" applyFont="1" applyFill="1" applyBorder="1" applyAlignment="1">
      <alignment horizontal="center"/>
    </xf>
    <xf numFmtId="167" fontId="11" fillId="2" borderId="29" xfId="0" applyNumberFormat="1" applyFont="1" applyFill="1" applyBorder="1"/>
    <xf numFmtId="0" fontId="16" fillId="2" borderId="29" xfId="0" applyFont="1" applyFill="1" applyBorder="1" applyAlignment="1">
      <alignment vertical="center"/>
    </xf>
    <xf numFmtId="0" fontId="8" fillId="0" borderId="27" xfId="0" applyFont="1" applyBorder="1"/>
    <xf numFmtId="0" fontId="9" fillId="0" borderId="27" xfId="0" applyFont="1" applyBorder="1" applyAlignment="1">
      <alignment horizontal="center"/>
    </xf>
    <xf numFmtId="0" fontId="10" fillId="0" borderId="27" xfId="0" applyFont="1" applyBorder="1" applyAlignment="1">
      <alignment horizontal="center"/>
    </xf>
    <xf numFmtId="167" fontId="10" fillId="0" borderId="27" xfId="0" applyNumberFormat="1" applyFont="1" applyBorder="1"/>
    <xf numFmtId="0" fontId="16" fillId="0" borderId="28" xfId="0" applyFont="1" applyBorder="1"/>
    <xf numFmtId="0" fontId="9" fillId="0" borderId="29" xfId="0" applyFont="1" applyBorder="1" applyAlignment="1">
      <alignment horizontal="center"/>
    </xf>
    <xf numFmtId="0" fontId="10" fillId="0" borderId="29" xfId="0" applyFont="1" applyBorder="1" applyAlignment="1">
      <alignment horizontal="center"/>
    </xf>
    <xf numFmtId="167" fontId="10" fillId="0" borderId="29" xfId="0" applyNumberFormat="1" applyFont="1" applyBorder="1"/>
    <xf numFmtId="0" fontId="25" fillId="0" borderId="8" xfId="0" applyFont="1" applyBorder="1"/>
    <xf numFmtId="0" fontId="25" fillId="0" borderId="6" xfId="0" applyFont="1" applyBorder="1"/>
    <xf numFmtId="167" fontId="10" fillId="0" borderId="0" xfId="0" applyNumberFormat="1" applyFont="1" applyAlignment="1">
      <alignment vertical="center"/>
    </xf>
    <xf numFmtId="0" fontId="13" fillId="0" borderId="0" xfId="0" applyFont="1" applyAlignment="1">
      <alignment horizontal="left" vertical="center"/>
    </xf>
    <xf numFmtId="0" fontId="9" fillId="0" borderId="36" xfId="0" applyFont="1" applyBorder="1" applyAlignment="1">
      <alignment horizontal="center"/>
    </xf>
    <xf numFmtId="0" fontId="9" fillId="0" borderId="37" xfId="0" applyFont="1" applyBorder="1" applyAlignment="1">
      <alignment horizontal="center"/>
    </xf>
    <xf numFmtId="0" fontId="10" fillId="0" borderId="37" xfId="0" applyFont="1" applyBorder="1" applyAlignment="1">
      <alignment horizontal="center"/>
    </xf>
    <xf numFmtId="0" fontId="8" fillId="0" borderId="37" xfId="0" applyFont="1" applyBorder="1"/>
    <xf numFmtId="0" fontId="9" fillId="0" borderId="39" xfId="0" applyFont="1" applyBorder="1" applyAlignment="1">
      <alignment horizontal="center"/>
    </xf>
    <xf numFmtId="0" fontId="8" fillId="0" borderId="0" xfId="0" applyFont="1" applyAlignment="1">
      <alignment horizontal="center"/>
    </xf>
    <xf numFmtId="167" fontId="10" fillId="0" borderId="0" xfId="0" applyNumberFormat="1" applyFont="1" applyAlignment="1">
      <alignment horizontal="center"/>
    </xf>
    <xf numFmtId="166" fontId="9" fillId="0" borderId="0" xfId="0" applyNumberFormat="1" applyFont="1" applyAlignment="1">
      <alignment horizontal="center" vertical="center"/>
    </xf>
    <xf numFmtId="0" fontId="12" fillId="0" borderId="39" xfId="0" applyFont="1" applyBorder="1" applyAlignment="1">
      <alignment vertical="center"/>
    </xf>
    <xf numFmtId="0" fontId="12" fillId="0" borderId="0" xfId="0" applyFont="1" applyAlignment="1">
      <alignment vertical="center"/>
    </xf>
    <xf numFmtId="0" fontId="12" fillId="0" borderId="39" xfId="0" applyFont="1" applyBorder="1" applyAlignment="1" applyProtection="1">
      <alignment vertical="center"/>
      <protection locked="0"/>
    </xf>
    <xf numFmtId="0" fontId="12" fillId="0" borderId="0" xfId="0" applyFont="1" applyAlignment="1" applyProtection="1">
      <alignment vertical="center"/>
      <protection locked="0"/>
    </xf>
    <xf numFmtId="0" fontId="9" fillId="0" borderId="0" xfId="0" applyFont="1"/>
    <xf numFmtId="0" fontId="15" fillId="0" borderId="39" xfId="0" applyFont="1" applyBorder="1" applyAlignment="1">
      <alignment horizontal="center"/>
    </xf>
    <xf numFmtId="0" fontId="16" fillId="0" borderId="0" xfId="0" applyFont="1"/>
    <xf numFmtId="1" fontId="15" fillId="0" borderId="0" xfId="0" applyNumberFormat="1" applyFont="1" applyAlignment="1">
      <alignment horizontal="center"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3" fillId="0" borderId="40" xfId="0" applyFont="1" applyBorder="1" applyAlignment="1">
      <alignment horizontal="left" vertical="center"/>
    </xf>
    <xf numFmtId="0" fontId="9" fillId="0" borderId="45" xfId="0" applyFont="1" applyBorder="1" applyAlignment="1">
      <alignment horizontal="center" vertical="top"/>
    </xf>
    <xf numFmtId="0" fontId="15" fillId="0" borderId="39" xfId="0" applyFont="1" applyBorder="1" applyAlignment="1">
      <alignment horizontal="center" vertical="top"/>
    </xf>
    <xf numFmtId="0" fontId="16" fillId="0" borderId="0" xfId="0" applyFont="1" applyAlignment="1">
      <alignment horizontal="right"/>
    </xf>
    <xf numFmtId="0" fontId="15" fillId="0" borderId="0" xfId="0" applyFont="1" applyAlignment="1">
      <alignment horizontal="center"/>
    </xf>
    <xf numFmtId="0" fontId="11" fillId="0" borderId="0" xfId="0" applyFont="1" applyAlignment="1">
      <alignment horizontal="center"/>
    </xf>
    <xf numFmtId="167" fontId="11" fillId="0" borderId="0" xfId="0" applyNumberFormat="1" applyFont="1" applyAlignment="1">
      <alignment horizontal="right"/>
    </xf>
    <xf numFmtId="0" fontId="15" fillId="0" borderId="45" xfId="0" applyFont="1" applyBorder="1" applyAlignment="1">
      <alignment horizontal="center" vertical="top"/>
    </xf>
    <xf numFmtId="0" fontId="9" fillId="0" borderId="48" xfId="0" applyFont="1" applyBorder="1" applyAlignment="1">
      <alignment horizontal="center" vertical="top"/>
    </xf>
    <xf numFmtId="0" fontId="9" fillId="0" borderId="39" xfId="0" applyFont="1" applyBorder="1" applyAlignment="1">
      <alignment horizontal="center" vertical="top"/>
    </xf>
    <xf numFmtId="0" fontId="10" fillId="0" borderId="45" xfId="0" applyFont="1" applyBorder="1" applyAlignment="1">
      <alignment horizontal="center" vertical="top"/>
    </xf>
    <xf numFmtId="0" fontId="9" fillId="0" borderId="49" xfId="0" applyFont="1" applyBorder="1" applyAlignment="1">
      <alignment horizontal="center" vertical="top"/>
    </xf>
    <xf numFmtId="0" fontId="15" fillId="0" borderId="45" xfId="0" applyFont="1" applyBorder="1" applyAlignment="1">
      <alignment horizontal="center"/>
    </xf>
    <xf numFmtId="0" fontId="9" fillId="0" borderId="50" xfId="0" applyFont="1" applyBorder="1" applyAlignment="1">
      <alignment horizontal="center" vertical="top"/>
    </xf>
    <xf numFmtId="0" fontId="17" fillId="0" borderId="0" xfId="0" quotePrefix="1" applyFont="1" applyAlignment="1">
      <alignment horizontal="right"/>
    </xf>
    <xf numFmtId="0" fontId="9" fillId="0" borderId="41" xfId="0" applyFont="1" applyBorder="1" applyAlignment="1">
      <alignment horizontal="center" vertical="top"/>
    </xf>
    <xf numFmtId="0" fontId="17" fillId="0" borderId="0" xfId="0" applyFont="1" applyAlignment="1">
      <alignment horizontal="right" vertical="top"/>
    </xf>
    <xf numFmtId="0" fontId="15" fillId="0" borderId="0" xfId="0" applyFont="1" applyAlignment="1">
      <alignment horizontal="center" vertical="top"/>
    </xf>
    <xf numFmtId="0" fontId="11" fillId="0" borderId="0" xfId="0" applyFont="1" applyAlignment="1">
      <alignment horizontal="center" vertical="top"/>
    </xf>
    <xf numFmtId="167" fontId="11" fillId="0" borderId="0" xfId="0" applyNumberFormat="1" applyFont="1"/>
    <xf numFmtId="0" fontId="10" fillId="0" borderId="0" xfId="0" applyFont="1" applyAlignment="1">
      <alignment horizontal="center" vertical="center"/>
    </xf>
    <xf numFmtId="167" fontId="11" fillId="0" borderId="0" xfId="0" applyNumberFormat="1" applyFont="1" applyAlignment="1">
      <alignment horizontal="center"/>
    </xf>
    <xf numFmtId="0" fontId="11" fillId="0" borderId="45" xfId="0" applyFont="1" applyBorder="1" applyAlignment="1">
      <alignment horizontal="center"/>
    </xf>
    <xf numFmtId="0" fontId="17" fillId="0" borderId="0" xfId="0" applyFont="1" applyAlignment="1">
      <alignment horizontal="left"/>
    </xf>
    <xf numFmtId="0" fontId="9" fillId="0" borderId="49" xfId="0" applyFont="1" applyBorder="1" applyAlignment="1">
      <alignment horizontal="center"/>
    </xf>
    <xf numFmtId="0" fontId="9" fillId="0" borderId="53" xfId="0" applyFont="1" applyBorder="1" applyAlignment="1">
      <alignment horizontal="center"/>
    </xf>
    <xf numFmtId="0" fontId="9" fillId="0" borderId="54" xfId="0" applyFont="1" applyBorder="1" applyAlignment="1">
      <alignment horizontal="center" vertical="top"/>
    </xf>
    <xf numFmtId="0" fontId="17" fillId="0" borderId="0" xfId="0" applyFont="1" applyAlignment="1">
      <alignment horizontal="right"/>
    </xf>
    <xf numFmtId="0" fontId="15" fillId="2" borderId="58" xfId="0" applyFont="1" applyFill="1" applyBorder="1" applyAlignment="1">
      <alignment horizontal="center"/>
    </xf>
    <xf numFmtId="0" fontId="9" fillId="0" borderId="59" xfId="0" applyFont="1" applyBorder="1" applyAlignment="1">
      <alignment horizontal="center"/>
    </xf>
    <xf numFmtId="0" fontId="17" fillId="0" borderId="0" xfId="0" applyFont="1"/>
    <xf numFmtId="0" fontId="8" fillId="0" borderId="0" xfId="0" applyFont="1" applyAlignment="1">
      <alignment horizontal="left"/>
    </xf>
    <xf numFmtId="0" fontId="9" fillId="0" borderId="60" xfId="0" applyFont="1" applyBorder="1" applyAlignment="1">
      <alignment horizontal="center"/>
    </xf>
    <xf numFmtId="167" fontId="10" fillId="0" borderId="0" xfId="0" applyNumberFormat="1" applyFont="1" applyAlignment="1">
      <alignment horizontal="right"/>
    </xf>
    <xf numFmtId="0" fontId="9" fillId="0" borderId="61" xfId="0" applyFont="1" applyBorder="1" applyAlignment="1">
      <alignment horizontal="center"/>
    </xf>
    <xf numFmtId="0" fontId="9" fillId="0" borderId="39" xfId="0" applyFont="1" applyBorder="1" applyAlignment="1">
      <alignment horizontal="center" vertical="center"/>
    </xf>
    <xf numFmtId="0" fontId="16" fillId="0" borderId="0" xfId="0" applyFont="1" applyAlignment="1">
      <alignment vertical="center"/>
    </xf>
    <xf numFmtId="0" fontId="9" fillId="0" borderId="0" xfId="0" applyFont="1" applyAlignment="1">
      <alignment horizontal="center" vertical="center"/>
    </xf>
    <xf numFmtId="0" fontId="10" fillId="0" borderId="63" xfId="0" applyFont="1" applyBorder="1" applyAlignment="1">
      <alignment horizontal="center"/>
    </xf>
    <xf numFmtId="167" fontId="10" fillId="0" borderId="63" xfId="0" applyNumberFormat="1" applyFont="1" applyBorder="1"/>
    <xf numFmtId="0" fontId="8" fillId="0" borderId="38" xfId="0" applyFont="1" applyBorder="1"/>
    <xf numFmtId="0" fontId="8" fillId="0" borderId="40" xfId="0" applyFont="1" applyBorder="1"/>
    <xf numFmtId="0" fontId="9" fillId="0" borderId="40" xfId="0" applyFont="1" applyBorder="1"/>
    <xf numFmtId="1" fontId="16" fillId="0" borderId="40" xfId="0" applyNumberFormat="1" applyFont="1" applyBorder="1" applyAlignment="1">
      <alignment horizontal="center" vertical="center"/>
    </xf>
    <xf numFmtId="167" fontId="8" fillId="0" borderId="40" xfId="0" applyNumberFormat="1" applyFont="1" applyBorder="1" applyAlignment="1">
      <alignment horizontal="center"/>
    </xf>
    <xf numFmtId="167" fontId="8" fillId="0" borderId="66" xfId="0" applyNumberFormat="1" applyFont="1" applyBorder="1" applyAlignment="1">
      <alignment horizontal="center"/>
    </xf>
    <xf numFmtId="167" fontId="16" fillId="0" borderId="40" xfId="0" applyNumberFormat="1" applyFont="1" applyBorder="1" applyAlignment="1">
      <alignment horizontal="center"/>
    </xf>
    <xf numFmtId="167" fontId="8" fillId="0" borderId="68" xfId="0" applyNumberFormat="1" applyFont="1" applyBorder="1"/>
    <xf numFmtId="167" fontId="17" fillId="0" borderId="66" xfId="0" applyNumberFormat="1" applyFont="1" applyBorder="1" applyAlignment="1">
      <alignment horizontal="center"/>
    </xf>
    <xf numFmtId="167" fontId="8" fillId="0" borderId="66" xfId="0" applyNumberFormat="1" applyFont="1" applyBorder="1"/>
    <xf numFmtId="167" fontId="16" fillId="0" borderId="40" xfId="0" applyNumberFormat="1" applyFont="1" applyBorder="1"/>
    <xf numFmtId="167" fontId="8" fillId="0" borderId="68" xfId="0" applyNumberFormat="1" applyFont="1" applyBorder="1" applyAlignment="1">
      <alignment horizontal="center"/>
    </xf>
    <xf numFmtId="167" fontId="10" fillId="0" borderId="66" xfId="0" applyNumberFormat="1" applyFont="1" applyBorder="1"/>
    <xf numFmtId="167" fontId="8" fillId="0" borderId="70" xfId="0" applyNumberFormat="1" applyFont="1" applyBorder="1"/>
    <xf numFmtId="167" fontId="16" fillId="0" borderId="72" xfId="0" applyNumberFormat="1" applyFont="1" applyBorder="1"/>
    <xf numFmtId="167" fontId="8" fillId="0" borderId="73" xfId="0" applyNumberFormat="1" applyFont="1" applyBorder="1"/>
    <xf numFmtId="167" fontId="8" fillId="0" borderId="68" xfId="1" applyNumberFormat="1" applyFont="1" applyBorder="1" applyAlignment="1">
      <alignment horizontal="center"/>
    </xf>
    <xf numFmtId="167" fontId="15" fillId="0" borderId="66" xfId="0" applyNumberFormat="1" applyFont="1" applyBorder="1"/>
    <xf numFmtId="167" fontId="25" fillId="0" borderId="74" xfId="0" applyNumberFormat="1" applyFont="1" applyBorder="1"/>
    <xf numFmtId="167" fontId="8" fillId="0" borderId="75" xfId="1" applyNumberFormat="1" applyFont="1" applyBorder="1" applyAlignment="1">
      <alignment horizontal="center"/>
    </xf>
    <xf numFmtId="167" fontId="22" fillId="0" borderId="40" xfId="1" applyNumberFormat="1" applyFont="1" applyFill="1" applyBorder="1"/>
    <xf numFmtId="167" fontId="8" fillId="0" borderId="68" xfId="1" applyNumberFormat="1" applyFont="1" applyBorder="1"/>
    <xf numFmtId="167" fontId="8" fillId="0" borderId="66" xfId="1" applyNumberFormat="1" applyFont="1" applyFill="1" applyBorder="1" applyAlignment="1">
      <alignment horizontal="center"/>
    </xf>
    <xf numFmtId="167" fontId="22" fillId="0" borderId="75" xfId="1" applyNumberFormat="1" applyFont="1" applyBorder="1"/>
    <xf numFmtId="167" fontId="8" fillId="0" borderId="66" xfId="0" applyNumberFormat="1" applyFont="1" applyBorder="1" applyAlignment="1">
      <alignment horizontal="right"/>
    </xf>
    <xf numFmtId="167" fontId="8" fillId="0" borderId="40" xfId="0" applyNumberFormat="1" applyFont="1" applyBorder="1"/>
    <xf numFmtId="167" fontId="16" fillId="0" borderId="40" xfId="0" applyNumberFormat="1" applyFont="1" applyBorder="1" applyAlignment="1">
      <alignment horizontal="right"/>
    </xf>
    <xf numFmtId="167" fontId="8" fillId="0" borderId="75" xfId="0" applyNumberFormat="1" applyFont="1" applyBorder="1"/>
    <xf numFmtId="167" fontId="8" fillId="0" borderId="78" xfId="0" applyNumberFormat="1" applyFont="1" applyBorder="1"/>
    <xf numFmtId="167" fontId="8" fillId="0" borderId="79" xfId="0" applyNumberFormat="1" applyFont="1" applyBorder="1"/>
    <xf numFmtId="168" fontId="8" fillId="0" borderId="40" xfId="0" applyNumberFormat="1" applyFont="1" applyBorder="1"/>
    <xf numFmtId="168" fontId="16" fillId="2" borderId="81" xfId="0" applyNumberFormat="1" applyFont="1" applyFill="1" applyBorder="1" applyAlignment="1">
      <alignment vertical="center"/>
    </xf>
    <xf numFmtId="168" fontId="8" fillId="0" borderId="83" xfId="0" applyNumberFormat="1" applyFont="1" applyBorder="1"/>
    <xf numFmtId="167" fontId="16" fillId="0" borderId="83" xfId="0" applyNumberFormat="1" applyFont="1" applyBorder="1"/>
    <xf numFmtId="168" fontId="8" fillId="0" borderId="84" xfId="0" applyNumberFormat="1" applyFont="1" applyBorder="1"/>
    <xf numFmtId="0" fontId="8" fillId="0" borderId="86" xfId="0" applyFont="1" applyBorder="1"/>
    <xf numFmtId="0" fontId="8" fillId="0" borderId="8" xfId="0" applyFont="1" applyBorder="1"/>
    <xf numFmtId="0" fontId="8" fillId="0" borderId="85" xfId="0" applyFont="1" applyBorder="1"/>
    <xf numFmtId="167" fontId="8" fillId="0" borderId="40" xfId="0" applyNumberFormat="1" applyFont="1" applyBorder="1" applyAlignment="1">
      <alignment horizontal="right"/>
    </xf>
    <xf numFmtId="167" fontId="10" fillId="0" borderId="37" xfId="0" applyNumberFormat="1" applyFont="1" applyBorder="1"/>
    <xf numFmtId="9" fontId="10" fillId="0" borderId="0" xfId="7" applyFont="1" applyAlignment="1">
      <alignment vertical="center"/>
    </xf>
    <xf numFmtId="0" fontId="8" fillId="0" borderId="45" xfId="0" applyFont="1" applyBorder="1" applyAlignment="1">
      <alignment horizontal="center" vertical="top"/>
    </xf>
    <xf numFmtId="0" fontId="8" fillId="0" borderId="18" xfId="0" applyFont="1" applyBorder="1" applyAlignment="1">
      <alignment horizontal="center"/>
    </xf>
    <xf numFmtId="167" fontId="8" fillId="0" borderId="18" xfId="0" applyNumberFormat="1" applyFont="1" applyBorder="1" applyAlignment="1">
      <alignment horizontal="center"/>
    </xf>
    <xf numFmtId="1" fontId="8" fillId="0" borderId="18" xfId="0" applyNumberFormat="1" applyFont="1" applyBorder="1" applyAlignment="1">
      <alignment horizontal="center"/>
    </xf>
    <xf numFmtId="167" fontId="8" fillId="0" borderId="18" xfId="0" applyNumberFormat="1" applyFont="1" applyBorder="1"/>
    <xf numFmtId="0" fontId="8" fillId="0" borderId="39" xfId="0" applyFont="1" applyBorder="1" applyAlignment="1">
      <alignment horizontal="center" vertical="top"/>
    </xf>
    <xf numFmtId="0" fontId="8" fillId="0" borderId="3" xfId="0" applyFont="1" applyBorder="1" applyAlignment="1">
      <alignment horizontal="center" wrapText="1"/>
    </xf>
    <xf numFmtId="1" fontId="8" fillId="0" borderId="2" xfId="0" applyNumberFormat="1" applyFont="1" applyBorder="1" applyAlignment="1">
      <alignment horizontal="center"/>
    </xf>
    <xf numFmtId="167" fontId="8" fillId="0" borderId="2" xfId="0" applyNumberFormat="1" applyFont="1" applyBorder="1" applyAlignment="1">
      <alignment horizontal="center"/>
    </xf>
    <xf numFmtId="0" fontId="8" fillId="0" borderId="3" xfId="0" applyFont="1" applyBorder="1" applyAlignment="1">
      <alignment horizontal="center"/>
    </xf>
    <xf numFmtId="0" fontId="8" fillId="0" borderId="2" xfId="0" applyFont="1" applyBorder="1" applyAlignment="1">
      <alignment horizontal="center"/>
    </xf>
    <xf numFmtId="0" fontId="8" fillId="0" borderId="45" xfId="0" applyFont="1" applyBorder="1" applyAlignment="1">
      <alignment horizontal="center"/>
    </xf>
    <xf numFmtId="0" fontId="25" fillId="0" borderId="6" xfId="0" applyFont="1" applyBorder="1" applyAlignment="1">
      <alignment horizontal="center"/>
    </xf>
    <xf numFmtId="167" fontId="25" fillId="0" borderId="6" xfId="0" applyNumberFormat="1" applyFont="1" applyBorder="1"/>
    <xf numFmtId="0" fontId="8" fillId="0" borderId="50" xfId="0" applyFont="1" applyBorder="1" applyAlignment="1">
      <alignment horizontal="center" vertical="top"/>
    </xf>
    <xf numFmtId="0" fontId="8" fillId="0" borderId="20" xfId="0" applyFont="1" applyBorder="1" applyAlignment="1">
      <alignment horizontal="center"/>
    </xf>
    <xf numFmtId="167" fontId="8" fillId="0" borderId="20" xfId="1" applyNumberFormat="1" applyFont="1" applyBorder="1" applyAlignment="1">
      <alignment horizontal="center"/>
    </xf>
    <xf numFmtId="167" fontId="8" fillId="0" borderId="18" xfId="1" applyNumberFormat="1" applyFont="1" applyBorder="1" applyAlignment="1">
      <alignment horizontal="center"/>
    </xf>
    <xf numFmtId="0" fontId="16" fillId="0" borderId="20" xfId="0" applyFont="1" applyBorder="1" applyAlignment="1">
      <alignment horizontal="center"/>
    </xf>
    <xf numFmtId="0" fontId="8" fillId="0" borderId="18" xfId="0" applyFont="1" applyBorder="1" applyAlignment="1">
      <alignment horizontal="center" vertical="center" wrapText="1"/>
    </xf>
    <xf numFmtId="0" fontId="8" fillId="0" borderId="6" xfId="0" applyFont="1" applyBorder="1" applyAlignment="1">
      <alignment horizontal="center"/>
    </xf>
    <xf numFmtId="0" fontId="8" fillId="0" borderId="15" xfId="0" applyFont="1" applyBorder="1" applyAlignment="1">
      <alignment horizontal="center"/>
    </xf>
    <xf numFmtId="167" fontId="8" fillId="0" borderId="86" xfId="0" applyNumberFormat="1" applyFont="1" applyBorder="1"/>
    <xf numFmtId="0" fontId="8" fillId="0" borderId="8" xfId="0" applyFont="1" applyBorder="1" applyAlignment="1">
      <alignment horizontal="center"/>
    </xf>
    <xf numFmtId="167" fontId="8" fillId="0" borderId="8" xfId="0" applyNumberFormat="1" applyFont="1" applyBorder="1"/>
    <xf numFmtId="0" fontId="8" fillId="0" borderId="85" xfId="0" applyFont="1" applyBorder="1" applyAlignment="1">
      <alignment horizontal="center"/>
    </xf>
    <xf numFmtId="167" fontId="8" fillId="0" borderId="85" xfId="0" applyNumberFormat="1" applyFont="1" applyBorder="1"/>
    <xf numFmtId="0" fontId="16" fillId="0" borderId="45" xfId="0" applyFont="1" applyBorder="1" applyAlignment="1">
      <alignment horizontal="center" vertical="top"/>
    </xf>
    <xf numFmtId="0" fontId="17" fillId="0" borderId="18" xfId="0" applyFont="1" applyBorder="1" applyAlignment="1">
      <alignment horizontal="center"/>
    </xf>
    <xf numFmtId="167" fontId="17" fillId="0" borderId="18" xfId="0" applyNumberFormat="1" applyFont="1" applyBorder="1" applyAlignment="1">
      <alignment horizontal="center"/>
    </xf>
    <xf numFmtId="0" fontId="8" fillId="0" borderId="18" xfId="0" applyFont="1" applyBorder="1" applyAlignment="1">
      <alignment horizontal="center" vertical="center"/>
    </xf>
    <xf numFmtId="0" fontId="16" fillId="0" borderId="50" xfId="0" applyFont="1" applyBorder="1" applyAlignment="1">
      <alignment horizontal="center"/>
    </xf>
    <xf numFmtId="0" fontId="8" fillId="0" borderId="20" xfId="0" applyFont="1" applyBorder="1" applyAlignment="1">
      <alignment horizontal="center" vertical="center"/>
    </xf>
    <xf numFmtId="167" fontId="8" fillId="0" borderId="20" xfId="0" applyNumberFormat="1" applyFont="1" applyBorder="1"/>
    <xf numFmtId="0" fontId="16" fillId="0" borderId="50" xfId="0" applyFont="1" applyBorder="1" applyAlignment="1">
      <alignment horizontal="center" vertical="top"/>
    </xf>
    <xf numFmtId="1" fontId="8" fillId="0" borderId="20" xfId="0" applyNumberFormat="1" applyFont="1" applyBorder="1" applyAlignment="1">
      <alignment horizontal="center"/>
    </xf>
    <xf numFmtId="0" fontId="8" fillId="0" borderId="53" xfId="0" applyFont="1" applyBorder="1" applyAlignment="1">
      <alignment horizontal="center" vertical="top"/>
    </xf>
    <xf numFmtId="0" fontId="8" fillId="0" borderId="24" xfId="0" applyFont="1" applyBorder="1" applyAlignment="1">
      <alignment horizontal="center"/>
    </xf>
    <xf numFmtId="1" fontId="8" fillId="0" borderId="24" xfId="0" applyNumberFormat="1" applyFont="1" applyBorder="1" applyAlignment="1">
      <alignment horizontal="center"/>
    </xf>
    <xf numFmtId="167" fontId="8" fillId="0" borderId="24" xfId="0" applyNumberFormat="1" applyFont="1" applyBorder="1"/>
    <xf numFmtId="0" fontId="8" fillId="0" borderId="24" xfId="0" applyFont="1" applyBorder="1" applyAlignment="1">
      <alignment horizontal="center" vertical="center"/>
    </xf>
    <xf numFmtId="0" fontId="8" fillId="0" borderId="49" xfId="0" applyFont="1" applyBorder="1" applyAlignment="1">
      <alignment horizontal="center" vertical="top"/>
    </xf>
    <xf numFmtId="0" fontId="8" fillId="0" borderId="19" xfId="0" applyFont="1" applyBorder="1" applyAlignment="1">
      <alignment horizontal="center"/>
    </xf>
    <xf numFmtId="0" fontId="8" fillId="0" borderId="19" xfId="0" applyFont="1" applyBorder="1" applyAlignment="1">
      <alignment horizontal="center" vertical="center"/>
    </xf>
    <xf numFmtId="167" fontId="16" fillId="0" borderId="19" xfId="0" applyNumberFormat="1" applyFont="1" applyBorder="1" applyAlignment="1">
      <alignment horizontal="center"/>
    </xf>
    <xf numFmtId="1" fontId="8" fillId="0" borderId="18" xfId="0" applyNumberFormat="1" applyFont="1" applyBorder="1" applyAlignment="1">
      <alignment horizontal="center" vertical="center"/>
    </xf>
    <xf numFmtId="170" fontId="8" fillId="0" borderId="19" xfId="0" applyNumberFormat="1" applyFont="1" applyBorder="1"/>
    <xf numFmtId="0" fontId="16" fillId="0" borderId="18" xfId="0" applyFont="1" applyBorder="1" applyAlignment="1">
      <alignment horizontal="center"/>
    </xf>
    <xf numFmtId="167" fontId="16" fillId="0" borderId="18" xfId="0" applyNumberFormat="1" applyFont="1" applyBorder="1"/>
    <xf numFmtId="167" fontId="8" fillId="0" borderId="20" xfId="0" applyNumberFormat="1" applyFont="1" applyBorder="1" applyAlignment="1">
      <alignment horizontal="center"/>
    </xf>
    <xf numFmtId="0" fontId="8" fillId="0" borderId="0" xfId="0" applyFont="1" applyAlignment="1">
      <alignment vertical="center"/>
    </xf>
    <xf numFmtId="0" fontId="9" fillId="0" borderId="0" xfId="0" applyFont="1" applyAlignment="1">
      <alignment vertical="center"/>
    </xf>
    <xf numFmtId="0" fontId="15" fillId="2" borderId="10" xfId="0" applyFont="1" applyFill="1" applyBorder="1" applyAlignment="1">
      <alignment horizontal="left" vertical="center"/>
    </xf>
    <xf numFmtId="0" fontId="15" fillId="2" borderId="12" xfId="0" applyFont="1" applyFill="1" applyBorder="1" applyAlignment="1">
      <alignment horizontal="center" vertical="center"/>
    </xf>
    <xf numFmtId="0" fontId="15" fillId="2" borderId="65" xfId="0" applyFont="1" applyFill="1" applyBorder="1" applyAlignment="1">
      <alignment horizontal="center" vertical="center"/>
    </xf>
    <xf numFmtId="14" fontId="9" fillId="0" borderId="65" xfId="0" applyNumberFormat="1" applyFont="1" applyBorder="1" applyAlignment="1" applyProtection="1">
      <alignment horizontal="center" vertical="center"/>
      <protection locked="0"/>
    </xf>
    <xf numFmtId="14" fontId="9" fillId="0" borderId="65" xfId="0" applyNumberFormat="1" applyFont="1" applyBorder="1" applyAlignment="1">
      <alignment horizontal="center" vertical="center"/>
    </xf>
    <xf numFmtId="167" fontId="9" fillId="0" borderId="0" xfId="0" applyNumberFormat="1" applyFont="1" applyAlignment="1">
      <alignment horizontal="center"/>
    </xf>
    <xf numFmtId="0" fontId="23" fillId="0" borderId="45" xfId="0" applyFont="1" applyBorder="1" applyAlignment="1">
      <alignment horizontal="center" vertical="top"/>
    </xf>
    <xf numFmtId="0" fontId="15" fillId="2" borderId="44" xfId="0" applyFont="1" applyFill="1" applyBorder="1" applyAlignment="1">
      <alignment horizontal="center"/>
    </xf>
    <xf numFmtId="0" fontId="16" fillId="2" borderId="13" xfId="0" applyFont="1" applyFill="1" applyBorder="1"/>
    <xf numFmtId="0" fontId="15" fillId="2" borderId="13" xfId="0" applyFont="1" applyFill="1" applyBorder="1" applyAlignment="1">
      <alignment horizontal="center"/>
    </xf>
    <xf numFmtId="0" fontId="11" fillId="2" borderId="13" xfId="0" applyFont="1" applyFill="1" applyBorder="1" applyAlignment="1">
      <alignment horizontal="center"/>
    </xf>
    <xf numFmtId="167" fontId="11" fillId="2" borderId="13" xfId="0" applyNumberFormat="1" applyFont="1" applyFill="1" applyBorder="1" applyAlignment="1">
      <alignment horizontal="center"/>
    </xf>
    <xf numFmtId="167" fontId="16" fillId="2" borderId="65" xfId="0" applyNumberFormat="1" applyFont="1" applyFill="1" applyBorder="1" applyAlignment="1">
      <alignment horizontal="center"/>
    </xf>
    <xf numFmtId="0" fontId="15" fillId="2" borderId="44" xfId="0" applyFont="1" applyFill="1" applyBorder="1" applyAlignment="1">
      <alignment horizontal="center" vertical="top"/>
    </xf>
    <xf numFmtId="167" fontId="16" fillId="0" borderId="68" xfId="1" applyNumberFormat="1" applyFont="1" applyFill="1" applyBorder="1"/>
    <xf numFmtId="0" fontId="15" fillId="2" borderId="52" xfId="0" applyFont="1" applyFill="1" applyBorder="1" applyAlignment="1">
      <alignment horizontal="center" vertical="top"/>
    </xf>
    <xf numFmtId="0" fontId="16" fillId="2" borderId="23" xfId="0" applyFont="1" applyFill="1" applyBorder="1"/>
    <xf numFmtId="0" fontId="15" fillId="2" borderId="23" xfId="0" applyFont="1" applyFill="1" applyBorder="1" applyAlignment="1">
      <alignment horizontal="center"/>
    </xf>
    <xf numFmtId="0" fontId="11" fillId="2" borderId="23" xfId="0" applyFont="1" applyFill="1" applyBorder="1" applyAlignment="1">
      <alignment horizontal="center"/>
    </xf>
    <xf numFmtId="167" fontId="11" fillId="2" borderId="23" xfId="0" applyNumberFormat="1" applyFont="1" applyFill="1" applyBorder="1" applyAlignment="1">
      <alignment horizontal="center"/>
    </xf>
    <xf numFmtId="167" fontId="16" fillId="2" borderId="77" xfId="0" applyNumberFormat="1" applyFont="1" applyFill="1" applyBorder="1" applyAlignment="1">
      <alignment horizontal="center"/>
    </xf>
    <xf numFmtId="0" fontId="10" fillId="0" borderId="0" xfId="0" applyFont="1" applyAlignment="1">
      <alignment wrapText="1"/>
    </xf>
    <xf numFmtId="167" fontId="16" fillId="2" borderId="67" xfId="0" applyNumberFormat="1" applyFont="1" applyFill="1" applyBorder="1" applyAlignment="1">
      <alignment horizontal="center"/>
    </xf>
    <xf numFmtId="167" fontId="16" fillId="2" borderId="69" xfId="0" applyNumberFormat="1" applyFont="1" applyFill="1" applyBorder="1"/>
    <xf numFmtId="167" fontId="16" fillId="2" borderId="69" xfId="0" applyNumberFormat="1" applyFont="1" applyFill="1" applyBorder="1" applyAlignment="1">
      <alignment horizontal="center"/>
    </xf>
    <xf numFmtId="167" fontId="16" fillId="2" borderId="71" xfId="0" applyNumberFormat="1" applyFont="1" applyFill="1" applyBorder="1"/>
    <xf numFmtId="167" fontId="16" fillId="2" borderId="76" xfId="1" applyNumberFormat="1" applyFont="1" applyFill="1" applyBorder="1"/>
    <xf numFmtId="167" fontId="16" fillId="2" borderId="76" xfId="0" applyNumberFormat="1" applyFont="1" applyFill="1" applyBorder="1" applyAlignment="1">
      <alignment horizontal="right"/>
    </xf>
    <xf numFmtId="167" fontId="16" fillId="5" borderId="65" xfId="0" applyNumberFormat="1" applyFont="1" applyFill="1" applyBorder="1"/>
    <xf numFmtId="167" fontId="16" fillId="5" borderId="80" xfId="0" applyNumberFormat="1" applyFont="1" applyFill="1" applyBorder="1"/>
    <xf numFmtId="167" fontId="16" fillId="2" borderId="65" xfId="0" applyNumberFormat="1" applyFont="1" applyFill="1" applyBorder="1"/>
    <xf numFmtId="167" fontId="16" fillId="6" borderId="65" xfId="0" applyNumberFormat="1" applyFont="1" applyFill="1" applyBorder="1"/>
    <xf numFmtId="167" fontId="16" fillId="2" borderId="81" xfId="0" applyNumberFormat="1" applyFont="1" applyFill="1" applyBorder="1"/>
    <xf numFmtId="167" fontId="16" fillId="2" borderId="83" xfId="0" applyNumberFormat="1" applyFont="1" applyFill="1" applyBorder="1"/>
    <xf numFmtId="0" fontId="16" fillId="0" borderId="11" xfId="0" quotePrefix="1" applyFont="1" applyBorder="1" applyAlignment="1">
      <alignment horizontal="right"/>
    </xf>
    <xf numFmtId="0" fontId="16" fillId="0" borderId="0" xfId="0" quotePrefix="1" applyFont="1" applyAlignment="1">
      <alignment horizontal="right"/>
    </xf>
    <xf numFmtId="167" fontId="16" fillId="0" borderId="40" xfId="1" applyNumberFormat="1" applyFont="1" applyFill="1" applyBorder="1"/>
    <xf numFmtId="0" fontId="16" fillId="4" borderId="41" xfId="0" applyFont="1" applyFill="1" applyBorder="1"/>
    <xf numFmtId="0" fontId="16" fillId="7" borderId="12" xfId="0" applyFont="1" applyFill="1" applyBorder="1"/>
    <xf numFmtId="0" fontId="15" fillId="7" borderId="16" xfId="0" applyFont="1" applyFill="1" applyBorder="1" applyAlignment="1">
      <alignment horizontal="center"/>
    </xf>
    <xf numFmtId="0" fontId="11" fillId="7" borderId="17" xfId="0" applyFont="1" applyFill="1" applyBorder="1" applyAlignment="1">
      <alignment horizontal="center"/>
    </xf>
    <xf numFmtId="167" fontId="10" fillId="7" borderId="17" xfId="0" applyNumberFormat="1" applyFont="1" applyFill="1" applyBorder="1" applyAlignment="1">
      <alignment horizontal="center"/>
    </xf>
    <xf numFmtId="0" fontId="2" fillId="0" borderId="0" xfId="0" applyFont="1" applyAlignment="1">
      <alignment horizontal="center"/>
    </xf>
    <xf numFmtId="2" fontId="1" fillId="0" borderId="5" xfId="0" applyNumberFormat="1" applyFont="1" applyBorder="1" applyAlignment="1">
      <alignment horizontal="left"/>
    </xf>
    <xf numFmtId="0" fontId="10" fillId="0" borderId="0" xfId="6" applyNumberFormat="1" applyFont="1" applyAlignment="1">
      <alignment horizontal="center"/>
    </xf>
    <xf numFmtId="0" fontId="8" fillId="0" borderId="0" xfId="6" applyNumberFormat="1" applyFont="1" applyAlignment="1">
      <alignment horizontal="center"/>
    </xf>
    <xf numFmtId="167" fontId="10" fillId="0" borderId="0" xfId="0" applyNumberFormat="1" applyFont="1" applyAlignment="1">
      <alignment horizontal="center" vertical="center"/>
    </xf>
    <xf numFmtId="0" fontId="8" fillId="0" borderId="0" xfId="0" applyFont="1" applyAlignment="1">
      <alignment horizontal="center" vertical="center"/>
    </xf>
    <xf numFmtId="171" fontId="10" fillId="0" borderId="0" xfId="6" applyNumberFormat="1" applyFont="1" applyAlignment="1">
      <alignment horizontal="center"/>
    </xf>
    <xf numFmtId="0" fontId="11" fillId="0" borderId="39" xfId="0" applyFont="1" applyBorder="1" applyAlignment="1">
      <alignment horizontal="center" vertical="center"/>
    </xf>
    <xf numFmtId="168" fontId="10" fillId="0" borderId="40" xfId="0" applyNumberFormat="1" applyFont="1" applyBorder="1"/>
    <xf numFmtId="0" fontId="10" fillId="0" borderId="39" xfId="0" applyFont="1" applyBorder="1" applyAlignment="1">
      <alignment horizontal="center" vertical="center"/>
    </xf>
    <xf numFmtId="0" fontId="10" fillId="0" borderId="62" xfId="0" applyFont="1" applyBorder="1" applyAlignment="1">
      <alignment horizontal="center" vertical="top"/>
    </xf>
    <xf numFmtId="0" fontId="10" fillId="0" borderId="63" xfId="0" applyFont="1" applyBorder="1"/>
    <xf numFmtId="167" fontId="10" fillId="0" borderId="64" xfId="0" applyNumberFormat="1" applyFont="1" applyBorder="1"/>
    <xf numFmtId="0" fontId="10" fillId="0" borderId="0" xfId="6" applyNumberFormat="1" applyFont="1"/>
    <xf numFmtId="0" fontId="10" fillId="0" borderId="0" xfId="6" applyNumberFormat="1" applyFont="1" applyAlignment="1">
      <alignment vertical="center"/>
    </xf>
    <xf numFmtId="0" fontId="11" fillId="0" borderId="0" xfId="6" applyNumberFormat="1" applyFont="1" applyAlignment="1">
      <alignment vertical="center"/>
    </xf>
    <xf numFmtId="0" fontId="8" fillId="0" borderId="0" xfId="6" applyNumberFormat="1" applyFont="1" applyAlignment="1">
      <alignment vertical="center"/>
    </xf>
    <xf numFmtId="1" fontId="10" fillId="0" borderId="0" xfId="0" applyNumberFormat="1" applyFont="1" applyAlignment="1">
      <alignment horizontal="center" vertical="center"/>
    </xf>
    <xf numFmtId="0" fontId="11" fillId="0" borderId="0" xfId="6" applyNumberFormat="1" applyFont="1" applyAlignment="1">
      <alignment horizontal="center"/>
    </xf>
    <xf numFmtId="0" fontId="16" fillId="0" borderId="39" xfId="0" applyFont="1" applyBorder="1" applyAlignment="1">
      <alignment horizontal="center" vertical="top"/>
    </xf>
    <xf numFmtId="0" fontId="16" fillId="0" borderId="0" xfId="0" applyFont="1" applyAlignment="1">
      <alignment horizontal="center" vertical="top"/>
    </xf>
    <xf numFmtId="0" fontId="2" fillId="0" borderId="0" xfId="0" applyFont="1"/>
    <xf numFmtId="0" fontId="3" fillId="0" borderId="87" xfId="0" applyFont="1" applyBorder="1"/>
    <xf numFmtId="1" fontId="0" fillId="0" borderId="0" xfId="0" applyNumberFormat="1" applyAlignment="1">
      <alignment horizontal="center"/>
    </xf>
    <xf numFmtId="0" fontId="10" fillId="0" borderId="0" xfId="0" applyFont="1" applyAlignment="1">
      <alignment horizontal="left" vertical="center" wrapText="1"/>
    </xf>
    <xf numFmtId="0" fontId="10" fillId="0" borderId="40" xfId="0" applyFont="1" applyBorder="1" applyAlignment="1">
      <alignment horizontal="left" vertical="center" wrapText="1"/>
    </xf>
    <xf numFmtId="0" fontId="16" fillId="0" borderId="41" xfId="0" applyFont="1" applyBorder="1" applyAlignment="1">
      <alignment horizontal="center" vertical="top"/>
    </xf>
    <xf numFmtId="0" fontId="16" fillId="0" borderId="11" xfId="0" applyFont="1" applyBorder="1" applyAlignment="1">
      <alignment horizontal="center" vertical="top"/>
    </xf>
    <xf numFmtId="0" fontId="16" fillId="0" borderId="12" xfId="0" applyFont="1" applyBorder="1" applyAlignment="1">
      <alignment horizontal="center" vertical="top"/>
    </xf>
    <xf numFmtId="0" fontId="16" fillId="4" borderId="41" xfId="0" applyFont="1" applyFill="1" applyBorder="1" applyAlignment="1">
      <alignment horizontal="left"/>
    </xf>
    <xf numFmtId="0" fontId="16" fillId="4" borderId="12" xfId="0" applyFont="1" applyFill="1" applyBorder="1" applyAlignment="1">
      <alignment horizontal="left"/>
    </xf>
    <xf numFmtId="0" fontId="16" fillId="0" borderId="56" xfId="0" applyFont="1" applyBorder="1" applyAlignment="1">
      <alignment horizontal="left"/>
    </xf>
    <xf numFmtId="0" fontId="16" fillId="0" borderId="29" xfId="0" applyFont="1" applyBorder="1" applyAlignment="1">
      <alignment horizontal="left"/>
    </xf>
    <xf numFmtId="0" fontId="16" fillId="0" borderId="30" xfId="0" applyFont="1" applyBorder="1" applyAlignment="1">
      <alignment horizontal="left"/>
    </xf>
    <xf numFmtId="0" fontId="15" fillId="0" borderId="56" xfId="0" applyFont="1" applyBorder="1" applyAlignment="1">
      <alignment horizontal="center"/>
    </xf>
    <xf numFmtId="0" fontId="15" fillId="0" borderId="29" xfId="0" applyFont="1" applyBorder="1" applyAlignment="1">
      <alignment horizontal="center"/>
    </xf>
    <xf numFmtId="0" fontId="15" fillId="0" borderId="82" xfId="0" applyFont="1" applyBorder="1" applyAlignment="1">
      <alignment horizontal="center"/>
    </xf>
    <xf numFmtId="0" fontId="16" fillId="0" borderId="42" xfId="0" applyFont="1" applyBorder="1" applyAlignment="1">
      <alignment horizontal="left"/>
    </xf>
    <xf numFmtId="0" fontId="16" fillId="0" borderId="14" xfId="0" applyFont="1" applyBorder="1" applyAlignment="1">
      <alignment horizontal="left"/>
    </xf>
    <xf numFmtId="0" fontId="16" fillId="0" borderId="57" xfId="0" applyFont="1" applyBorder="1" applyAlignment="1">
      <alignment horizontal="left"/>
    </xf>
    <xf numFmtId="0" fontId="16" fillId="0" borderId="31" xfId="0" applyFont="1" applyBorder="1" applyAlignment="1">
      <alignment horizontal="left"/>
    </xf>
    <xf numFmtId="0" fontId="16" fillId="0" borderId="22" xfId="0" applyFont="1" applyBorder="1" applyAlignment="1">
      <alignment horizontal="center" vertical="top"/>
    </xf>
    <xf numFmtId="0" fontId="24" fillId="0" borderId="41" xfId="0" applyFont="1" applyBorder="1" applyAlignment="1">
      <alignment horizontal="left"/>
    </xf>
    <xf numFmtId="0" fontId="24" fillId="0" borderId="12" xfId="0" applyFont="1" applyBorder="1" applyAlignment="1">
      <alignment horizontal="left"/>
    </xf>
    <xf numFmtId="0" fontId="16" fillId="4" borderId="42" xfId="0" applyFont="1" applyFill="1" applyBorder="1" applyAlignment="1">
      <alignment horizontal="left"/>
    </xf>
    <xf numFmtId="0" fontId="16" fillId="4" borderId="14" xfId="0" applyFont="1" applyFill="1" applyBorder="1" applyAlignment="1">
      <alignment horizontal="left"/>
    </xf>
    <xf numFmtId="0" fontId="16" fillId="4" borderId="43" xfId="0" applyFont="1" applyFill="1" applyBorder="1" applyAlignment="1">
      <alignment horizontal="left"/>
    </xf>
    <xf numFmtId="0" fontId="16" fillId="4" borderId="35" xfId="0" applyFont="1" applyFill="1" applyBorder="1" applyAlignment="1">
      <alignment horizontal="left"/>
    </xf>
    <xf numFmtId="0" fontId="16" fillId="4" borderId="51" xfId="0" applyFont="1" applyFill="1" applyBorder="1" applyAlignment="1">
      <alignment horizontal="left"/>
    </xf>
    <xf numFmtId="0" fontId="16" fillId="4" borderId="34" xfId="0" applyFont="1" applyFill="1" applyBorder="1" applyAlignment="1">
      <alignment horizontal="left"/>
    </xf>
    <xf numFmtId="0" fontId="16" fillId="0" borderId="55" xfId="0" applyFont="1" applyBorder="1" applyAlignment="1">
      <alignment horizontal="center" vertical="top"/>
    </xf>
    <xf numFmtId="0" fontId="16" fillId="0" borderId="26" xfId="0" applyFont="1" applyBorder="1" applyAlignment="1">
      <alignment horizontal="center" vertical="top"/>
    </xf>
    <xf numFmtId="0" fontId="16" fillId="0" borderId="33" xfId="0" applyFont="1" applyBorder="1" applyAlignment="1">
      <alignment horizontal="center" vertical="top"/>
    </xf>
    <xf numFmtId="0" fontId="16" fillId="3" borderId="41" xfId="0" applyFont="1" applyFill="1" applyBorder="1" applyAlignment="1">
      <alignment horizontal="left"/>
    </xf>
    <xf numFmtId="0" fontId="16" fillId="3" borderId="12" xfId="0" applyFont="1" applyFill="1" applyBorder="1" applyAlignment="1">
      <alignment horizontal="left"/>
    </xf>
    <xf numFmtId="0" fontId="17" fillId="0" borderId="41" xfId="0" quotePrefix="1" applyFont="1" applyBorder="1" applyAlignment="1">
      <alignment horizontal="center"/>
    </xf>
    <xf numFmtId="0" fontId="17" fillId="0" borderId="11" xfId="0" quotePrefix="1" applyFont="1" applyBorder="1" applyAlignment="1">
      <alignment horizontal="center"/>
    </xf>
    <xf numFmtId="0" fontId="17" fillId="0" borderId="22" xfId="0" quotePrefix="1" applyFont="1" applyBorder="1" applyAlignment="1">
      <alignment horizontal="center"/>
    </xf>
    <xf numFmtId="0" fontId="17" fillId="4" borderId="41" xfId="0" applyFont="1" applyFill="1" applyBorder="1" applyAlignment="1">
      <alignment horizontal="left" wrapText="1"/>
    </xf>
    <xf numFmtId="0" fontId="17" fillId="4" borderId="12" xfId="0" applyFont="1" applyFill="1" applyBorder="1" applyAlignment="1">
      <alignment horizontal="left" wrapText="1"/>
    </xf>
    <xf numFmtId="0" fontId="16" fillId="0" borderId="47" xfId="0" applyFont="1" applyBorder="1" applyAlignment="1">
      <alignment horizontal="center"/>
    </xf>
    <xf numFmtId="0" fontId="16" fillId="0" borderId="4" xfId="0" applyFont="1" applyBorder="1" applyAlignment="1">
      <alignment horizontal="center"/>
    </xf>
    <xf numFmtId="0" fontId="16" fillId="0" borderId="7" xfId="0" applyFont="1" applyBorder="1" applyAlignment="1">
      <alignment horizontal="center"/>
    </xf>
    <xf numFmtId="0" fontId="16" fillId="0" borderId="46" xfId="0" applyFont="1" applyBorder="1" applyAlignment="1">
      <alignment horizontal="center"/>
    </xf>
    <xf numFmtId="0" fontId="16" fillId="0" borderId="9" xfId="0" applyFont="1" applyBorder="1" applyAlignment="1">
      <alignment horizontal="center"/>
    </xf>
    <xf numFmtId="0" fontId="16" fillId="0" borderId="21" xfId="0" applyFont="1" applyBorder="1" applyAlignment="1">
      <alignment horizontal="center"/>
    </xf>
    <xf numFmtId="0" fontId="15" fillId="0" borderId="39" xfId="0" applyFont="1" applyBorder="1" applyAlignment="1">
      <alignment horizontal="left" vertical="center"/>
    </xf>
    <xf numFmtId="0" fontId="15" fillId="0" borderId="0" xfId="0" applyFont="1" applyAlignment="1">
      <alignment horizontal="left" vertical="center"/>
    </xf>
    <xf numFmtId="0" fontId="14" fillId="2" borderId="41" xfId="0" applyFont="1" applyFill="1" applyBorder="1" applyAlignment="1">
      <alignment horizontal="left" vertical="center"/>
    </xf>
    <xf numFmtId="0" fontId="14" fillId="2" borderId="11" xfId="0" applyFont="1" applyFill="1" applyBorder="1" applyAlignment="1">
      <alignment horizontal="left" vertical="center"/>
    </xf>
    <xf numFmtId="0" fontId="15" fillId="0" borderId="42" xfId="0" applyFont="1" applyBorder="1" applyAlignment="1" applyProtection="1">
      <alignment vertical="center"/>
      <protection locked="0"/>
    </xf>
    <xf numFmtId="0" fontId="15" fillId="0" borderId="32" xfId="0" applyFont="1" applyBorder="1" applyAlignment="1" applyProtection="1">
      <alignment vertical="center"/>
      <protection locked="0"/>
    </xf>
    <xf numFmtId="0" fontId="9" fillId="0" borderId="10" xfId="0" applyFont="1" applyBorder="1" applyAlignment="1" applyProtection="1">
      <alignment horizontal="left" vertical="center"/>
      <protection locked="0"/>
    </xf>
    <xf numFmtId="0" fontId="9" fillId="0" borderId="12" xfId="0" applyFont="1" applyBorder="1" applyAlignment="1" applyProtection="1">
      <alignment horizontal="left" vertical="center"/>
      <protection locked="0"/>
    </xf>
    <xf numFmtId="0" fontId="15" fillId="0" borderId="39" xfId="0" applyFont="1" applyBorder="1" applyAlignment="1" applyProtection="1">
      <alignment vertical="center"/>
      <protection locked="0"/>
    </xf>
    <xf numFmtId="0" fontId="15" fillId="0" borderId="0" xfId="0" applyFont="1" applyAlignment="1" applyProtection="1">
      <alignment vertical="center"/>
      <protection locked="0"/>
    </xf>
    <xf numFmtId="0" fontId="15" fillId="0" borderId="39" xfId="0" applyFont="1" applyBorder="1" applyAlignment="1">
      <alignment horizontal="left"/>
    </xf>
    <xf numFmtId="0" fontId="15" fillId="0" borderId="0" xfId="0" applyFont="1" applyAlignment="1">
      <alignment horizontal="left"/>
    </xf>
    <xf numFmtId="0" fontId="17" fillId="4" borderId="42" xfId="0" applyFont="1" applyFill="1" applyBorder="1" applyAlignment="1">
      <alignment horizontal="left"/>
    </xf>
    <xf numFmtId="0" fontId="17" fillId="4" borderId="14" xfId="0" applyFont="1" applyFill="1" applyBorder="1" applyAlignment="1">
      <alignment horizontal="left"/>
    </xf>
  </cellXfs>
  <cellStyles count="8">
    <cellStyle name="Comma 2" xfId="1" xr:uid="{00000000-0005-0000-0000-000000000000}"/>
    <cellStyle name="Comma 2 2" xfId="3" xr:uid="{00000000-0005-0000-0000-000001000000}"/>
    <cellStyle name="Currency" xfId="6" builtinId="4"/>
    <cellStyle name="Currency 2" xfId="4" xr:uid="{00000000-0005-0000-0000-000003000000}"/>
    <cellStyle name="Normal" xfId="0" builtinId="0"/>
    <cellStyle name="Normal 2" xfId="2" xr:uid="{00000000-0005-0000-0000-000005000000}"/>
    <cellStyle name="Normal 3" xfId="5" xr:uid="{00000000-0005-0000-0000-000006000000}"/>
    <cellStyle name="Percent" xfId="7" builtinId="5"/>
  </cellStyles>
  <dxfs count="0"/>
  <tableStyles count="0" defaultTableStyle="TableStyleMedium2" defaultPivotStyle="PivotStyleLight16"/>
  <colors>
    <mruColors>
      <color rgb="FF6F1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1981200</xdr:colOff>
      <xdr:row>83</xdr:row>
      <xdr:rowOff>0</xdr:rowOff>
    </xdr:from>
    <xdr:to>
      <xdr:col>1</xdr:col>
      <xdr:colOff>1981200</xdr:colOff>
      <xdr:row>84</xdr:row>
      <xdr:rowOff>0</xdr:rowOff>
    </xdr:to>
    <xdr:sp macro="" textlink="">
      <xdr:nvSpPr>
        <xdr:cNvPr id="2" name=" ">
          <a:extLst>
            <a:ext uri="{FF2B5EF4-FFF2-40B4-BE49-F238E27FC236}">
              <a16:creationId xmlns:a16="http://schemas.microsoft.com/office/drawing/2014/main" id="{1ACCCD57-670F-4BE4-A935-64568D11B85F}"/>
            </a:ext>
          </a:extLst>
        </xdr:cNvPr>
        <xdr:cNvSpPr txBox="1"/>
      </xdr:nvSpPr>
      <xdr:spPr>
        <a:xfrm>
          <a:off x="704850" y="21755100"/>
          <a:ext cx="0" cy="238125"/>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lvl="0" algn="l"/>
          <a:endParaRPr/>
        </a:p>
      </xdr:txBody>
    </xdr:sp>
    <xdr:clientData fLocksWithSheet="0"/>
  </xdr:twoCellAnchor>
  <xdr:twoCellAnchor>
    <xdr:from>
      <xdr:col>1</xdr:col>
      <xdr:colOff>81642</xdr:colOff>
      <xdr:row>1</xdr:row>
      <xdr:rowOff>0</xdr:rowOff>
    </xdr:from>
    <xdr:to>
      <xdr:col>6</xdr:col>
      <xdr:colOff>866774</xdr:colOff>
      <xdr:row>7</xdr:row>
      <xdr:rowOff>17719</xdr:rowOff>
    </xdr:to>
    <xdr:grpSp>
      <xdr:nvGrpSpPr>
        <xdr:cNvPr id="3" name="Group 2">
          <a:extLst>
            <a:ext uri="{FF2B5EF4-FFF2-40B4-BE49-F238E27FC236}">
              <a16:creationId xmlns:a16="http://schemas.microsoft.com/office/drawing/2014/main" id="{5A7AC1BD-6087-4DC8-B35E-908161EFE499}"/>
            </a:ext>
          </a:extLst>
        </xdr:cNvPr>
        <xdr:cNvGrpSpPr>
          <a:grpSpLocks/>
        </xdr:cNvGrpSpPr>
      </xdr:nvGrpSpPr>
      <xdr:grpSpPr>
        <a:xfrm>
          <a:off x="176892" y="228600"/>
          <a:ext cx="5990545" cy="1360744"/>
          <a:chOff x="0" y="-371"/>
          <a:chExt cx="75600" cy="16783"/>
        </a:xfrm>
      </xdr:grpSpPr>
      <xdr:sp macro="" textlink="">
        <xdr:nvSpPr>
          <xdr:cNvPr id="4" name="Rectangle 3">
            <a:extLst>
              <a:ext uri="{FF2B5EF4-FFF2-40B4-BE49-F238E27FC236}">
                <a16:creationId xmlns:a16="http://schemas.microsoft.com/office/drawing/2014/main" id="{E110A37C-8CE2-40D8-ACC7-83E7A1D2ECE4}"/>
              </a:ext>
            </a:extLst>
          </xdr:cNvPr>
          <xdr:cNvSpPr/>
        </xdr:nvSpPr>
        <xdr:spPr>
          <a:xfrm>
            <a:off x="50225" y="-371"/>
            <a:ext cx="25375" cy="2109"/>
          </a:xfrm>
          <a:prstGeom prst="rect">
            <a:avLst/>
          </a:prstGeom>
          <a:ln>
            <a:noFill/>
          </a:ln>
        </xdr:spPr>
        <xdr:txBody>
          <a:bodyPr vert="horz" wrap="square" lIns="0" tIns="0" rIns="0" bIns="0" anchor="t" upright="1">
            <a:prstTxWarp prst="textNoShape">
              <a:avLst/>
            </a:prstTxWarp>
            <a:noAutofit/>
          </a:bodyPr>
          <a:lstStyle/>
          <a:p>
            <a:pPr marL="0" marR="0" lvl="0">
              <a:spcBef>
                <a:spcPts val="0"/>
              </a:spcBef>
              <a:spcAft>
                <a:spcPts val="0"/>
              </a:spcAft>
            </a:pPr>
            <a:r>
              <a:rPr lang="en-GB" sz="1000" b="1" i="1">
                <a:solidFill>
                  <a:srgbClr val="422874"/>
                </a:solidFill>
                <a:effectLst/>
                <a:latin typeface="Times New Roman"/>
                <a:ea typeface="Times New Roman"/>
              </a:rPr>
              <a:t>+</a:t>
            </a:r>
            <a:r>
              <a:rPr lang="en-GB" sz="1200" b="1" i="1">
                <a:solidFill>
                  <a:srgbClr val="422874"/>
                </a:solidFill>
                <a:effectLst/>
                <a:latin typeface="Times New Roman"/>
                <a:ea typeface="Times New Roman"/>
              </a:rPr>
              <a:t>263782939350,+263787555007</a:t>
            </a:r>
            <a:endParaRPr lang="en-US" sz="1200">
              <a:solidFill>
                <a:srgbClr val="000000"/>
              </a:solidFill>
              <a:effectLst/>
              <a:latin typeface="Times New Roman"/>
              <a:ea typeface="Times New Roman"/>
            </a:endParaRPr>
          </a:p>
        </xdr:txBody>
      </xdr:sp>
      <xdr:sp macro="" textlink="">
        <xdr:nvSpPr>
          <xdr:cNvPr id="5" name="Rectangle 4">
            <a:extLst>
              <a:ext uri="{FF2B5EF4-FFF2-40B4-BE49-F238E27FC236}">
                <a16:creationId xmlns:a16="http://schemas.microsoft.com/office/drawing/2014/main" id="{385E2E30-343C-4AF3-A956-92D1DB8A5A25}"/>
              </a:ext>
            </a:extLst>
          </xdr:cNvPr>
          <xdr:cNvSpPr/>
        </xdr:nvSpPr>
        <xdr:spPr>
          <a:xfrm>
            <a:off x="50838" y="2532"/>
            <a:ext cx="23764" cy="3709"/>
          </a:xfrm>
          <a:prstGeom prst="rect">
            <a:avLst/>
          </a:prstGeom>
          <a:ln>
            <a:noFill/>
          </a:ln>
        </xdr:spPr>
        <xdr:txBody>
          <a:bodyPr vert="horz" wrap="square" lIns="0" tIns="0" rIns="0" bIns="0" anchor="t" upright="1">
            <a:prstTxWarp prst="textNoShape">
              <a:avLst/>
            </a:prstTxWarp>
            <a:noAutofit/>
          </a:bodyPr>
          <a:lstStyle/>
          <a:p>
            <a:pPr marL="0" marR="0" lvl="0">
              <a:spcBef>
                <a:spcPts val="0"/>
              </a:spcBef>
              <a:spcAft>
                <a:spcPts val="0"/>
              </a:spcAft>
            </a:pPr>
            <a:r>
              <a:rPr lang="en-GB" sz="1200" b="1" i="1" baseline="0">
                <a:solidFill>
                  <a:srgbClr val="422874"/>
                </a:solidFill>
                <a:effectLst/>
                <a:latin typeface="Times New Roman"/>
                <a:ea typeface="Times New Roman"/>
              </a:rPr>
              <a:t>132 J Chinamano Ave Harare</a:t>
            </a:r>
          </a:p>
        </xdr:txBody>
      </xdr:sp>
      <xdr:sp macro="" textlink="">
        <xdr:nvSpPr>
          <xdr:cNvPr id="6" name="Rectangle 5">
            <a:extLst>
              <a:ext uri="{FF2B5EF4-FFF2-40B4-BE49-F238E27FC236}">
                <a16:creationId xmlns:a16="http://schemas.microsoft.com/office/drawing/2014/main" id="{08FAD407-344C-4221-839D-45441B920FE8}"/>
              </a:ext>
            </a:extLst>
          </xdr:cNvPr>
          <xdr:cNvSpPr/>
        </xdr:nvSpPr>
        <xdr:spPr>
          <a:xfrm>
            <a:off x="50880" y="6796"/>
            <a:ext cx="22911" cy="1935"/>
          </a:xfrm>
          <a:prstGeom prst="rect">
            <a:avLst/>
          </a:prstGeom>
          <a:ln>
            <a:noFill/>
          </a:ln>
        </xdr:spPr>
        <xdr:txBody>
          <a:bodyPr vert="horz" wrap="square" lIns="0" tIns="0" rIns="0" bIns="0" anchor="t" upright="1">
            <a:prstTxWarp prst="textNoShape">
              <a:avLst/>
            </a:prstTxWarp>
            <a:noAutofit/>
          </a:bodyPr>
          <a:lstStyle/>
          <a:p>
            <a:pPr marL="0" marR="0" lvl="0">
              <a:spcBef>
                <a:spcPts val="0"/>
              </a:spcBef>
              <a:spcAft>
                <a:spcPts val="0"/>
              </a:spcAft>
            </a:pPr>
            <a:r>
              <a:rPr lang="en-ZW" sz="1200" b="1" i="1">
                <a:solidFill>
                  <a:srgbClr val="422874"/>
                </a:solidFill>
                <a:effectLst/>
                <a:latin typeface="Times New Roman"/>
                <a:ea typeface="Times New Roman"/>
              </a:rPr>
              <a:t>info@barmlo.co.zw</a:t>
            </a:r>
            <a:endParaRPr lang="en-US" sz="1200">
              <a:solidFill>
                <a:srgbClr val="000000"/>
              </a:solidFill>
              <a:effectLst/>
              <a:latin typeface="Times New Roman"/>
              <a:ea typeface="Times New Roman"/>
            </a:endParaRPr>
          </a:p>
        </xdr:txBody>
      </xdr:sp>
      <xdr:sp macro="" textlink="">
        <xdr:nvSpPr>
          <xdr:cNvPr id="7" name="Rectangle 6">
            <a:extLst>
              <a:ext uri="{FF2B5EF4-FFF2-40B4-BE49-F238E27FC236}">
                <a16:creationId xmlns:a16="http://schemas.microsoft.com/office/drawing/2014/main" id="{060D667A-D9D6-4FB0-A346-E9B219C916CA}"/>
              </a:ext>
            </a:extLst>
          </xdr:cNvPr>
          <xdr:cNvSpPr/>
        </xdr:nvSpPr>
        <xdr:spPr>
          <a:xfrm>
            <a:off x="50660" y="9427"/>
            <a:ext cx="17878" cy="1603"/>
          </a:xfrm>
          <a:prstGeom prst="rect">
            <a:avLst/>
          </a:prstGeom>
          <a:ln>
            <a:noFill/>
          </a:ln>
        </xdr:spPr>
        <xdr:txBody>
          <a:bodyPr vert="horz" wrap="square" lIns="0" tIns="0" rIns="0" bIns="0" anchor="t" upright="1">
            <a:prstTxWarp prst="textNoShape">
              <a:avLst/>
            </a:prstTxWarp>
            <a:noAutofit/>
          </a:bodyPr>
          <a:lstStyle/>
          <a:p>
            <a:pPr marL="0" marR="0" lvl="0">
              <a:spcBef>
                <a:spcPts val="0"/>
              </a:spcBef>
              <a:spcAft>
                <a:spcPts val="0"/>
              </a:spcAft>
            </a:pPr>
            <a:r>
              <a:rPr lang="en-GB" sz="1200" b="1" i="1">
                <a:solidFill>
                  <a:srgbClr val="422874"/>
                </a:solidFill>
                <a:effectLst/>
                <a:latin typeface="Times New Roman"/>
                <a:ea typeface="Times New Roman"/>
              </a:rPr>
              <a:t>www.barmlo.co</a:t>
            </a:r>
            <a:r>
              <a:rPr lang="en-GB" sz="1400" b="1" i="1">
                <a:solidFill>
                  <a:srgbClr val="422874"/>
                </a:solidFill>
                <a:effectLst/>
                <a:latin typeface="Times New Roman"/>
                <a:ea typeface="Times New Roman"/>
              </a:rPr>
              <a:t>.</a:t>
            </a:r>
            <a:r>
              <a:rPr lang="en-GB" sz="1200" b="1" i="1">
                <a:solidFill>
                  <a:srgbClr val="422874"/>
                </a:solidFill>
                <a:effectLst/>
                <a:latin typeface="Times New Roman"/>
                <a:ea typeface="Times New Roman"/>
              </a:rPr>
              <a:t>zw</a:t>
            </a:r>
            <a:endParaRPr lang="en-US" sz="1200">
              <a:solidFill>
                <a:srgbClr val="000000"/>
              </a:solidFill>
              <a:effectLst/>
              <a:latin typeface="Times New Roman"/>
              <a:ea typeface="Times New Roman"/>
            </a:endParaRPr>
          </a:p>
        </xdr:txBody>
      </xdr:sp>
      <xdr:sp macro="" textlink="">
        <xdr:nvSpPr>
          <xdr:cNvPr id="8" name="Freeform 8">
            <a:extLst>
              <a:ext uri="{FF2B5EF4-FFF2-40B4-BE49-F238E27FC236}">
                <a16:creationId xmlns:a16="http://schemas.microsoft.com/office/drawing/2014/main" id="{AC33CB4F-60E0-4D73-96DB-BA64A17BBC88}"/>
              </a:ext>
            </a:extLst>
          </xdr:cNvPr>
          <xdr:cNvSpPr/>
        </xdr:nvSpPr>
        <xdr:spPr>
          <a:xfrm>
            <a:off x="49533" y="9613"/>
            <a:ext cx="138" cy="123"/>
          </a:xfrm>
          <a:custGeom>
            <a:avLst/>
            <a:gdLst/>
            <a:ahLst/>
            <a:cxnLst/>
            <a:rect l="l" t="t" r="r" b="b"/>
            <a:pathLst>
              <a:path w="13767" h="12332">
                <a:moveTo>
                  <a:pt x="13767" y="0"/>
                </a:moveTo>
                <a:lnTo>
                  <a:pt x="13119" y="12332"/>
                </a:lnTo>
                <a:lnTo>
                  <a:pt x="0" y="12332"/>
                </a:lnTo>
                <a:lnTo>
                  <a:pt x="0" y="343"/>
                </a:lnTo>
                <a:lnTo>
                  <a:pt x="13767"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9" name="Freeform 9">
            <a:extLst>
              <a:ext uri="{FF2B5EF4-FFF2-40B4-BE49-F238E27FC236}">
                <a16:creationId xmlns:a16="http://schemas.microsoft.com/office/drawing/2014/main" id="{095F0AD0-5A12-43EF-90E5-A065EA0477EE}"/>
              </a:ext>
            </a:extLst>
          </xdr:cNvPr>
          <xdr:cNvSpPr/>
        </xdr:nvSpPr>
        <xdr:spPr>
          <a:xfrm flipV="1">
            <a:off x="49328" y="6145"/>
            <a:ext cx="666" cy="479"/>
          </a:xfrm>
          <a:custGeom>
            <a:avLst/>
            <a:gdLst/>
            <a:ahLst/>
            <a:cxnLst/>
            <a:rect l="l" t="t" r="r" b="b"/>
            <a:pathLst>
              <a:path w="15253" h="36157">
                <a:moveTo>
                  <a:pt x="0" y="0"/>
                </a:moveTo>
                <a:lnTo>
                  <a:pt x="15253" y="1118"/>
                </a:lnTo>
                <a:lnTo>
                  <a:pt x="4344" y="36157"/>
                </a:lnTo>
                <a:lnTo>
                  <a:pt x="13" y="35763"/>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0" name="Freeform 10">
            <a:extLst>
              <a:ext uri="{FF2B5EF4-FFF2-40B4-BE49-F238E27FC236}">
                <a16:creationId xmlns:a16="http://schemas.microsoft.com/office/drawing/2014/main" id="{6DB49CF1-3AB7-4B8C-BFF3-EDC8824E7CD2}"/>
              </a:ext>
            </a:extLst>
          </xdr:cNvPr>
          <xdr:cNvSpPr/>
        </xdr:nvSpPr>
        <xdr:spPr>
          <a:xfrm>
            <a:off x="47554" y="6719"/>
            <a:ext cx="1663" cy="1290"/>
          </a:xfrm>
          <a:custGeom>
            <a:avLst/>
            <a:gdLst/>
            <a:ahLst/>
            <a:cxnLst/>
            <a:rect l="l" t="t" r="r" b="b"/>
            <a:pathLst>
              <a:path w="130035" h="85763">
                <a:moveTo>
                  <a:pt x="0" y="0"/>
                </a:moveTo>
                <a:lnTo>
                  <a:pt x="61087" y="0"/>
                </a:lnTo>
                <a:lnTo>
                  <a:pt x="61087" y="13259"/>
                </a:lnTo>
                <a:lnTo>
                  <a:pt x="46038" y="13259"/>
                </a:lnTo>
                <a:cubicBezTo>
                  <a:pt x="42214" y="13259"/>
                  <a:pt x="41630" y="14097"/>
                  <a:pt x="41630" y="14097"/>
                </a:cubicBezTo>
                <a:lnTo>
                  <a:pt x="68135" y="46558"/>
                </a:lnTo>
                <a:cubicBezTo>
                  <a:pt x="68135" y="46558"/>
                  <a:pt x="89065" y="27991"/>
                  <a:pt x="91440" y="26301"/>
                </a:cubicBezTo>
                <a:cubicBezTo>
                  <a:pt x="93776" y="24587"/>
                  <a:pt x="92913" y="21463"/>
                  <a:pt x="92913" y="21463"/>
                </a:cubicBezTo>
                <a:lnTo>
                  <a:pt x="78549" y="20904"/>
                </a:lnTo>
                <a:lnTo>
                  <a:pt x="75285" y="19190"/>
                </a:lnTo>
                <a:lnTo>
                  <a:pt x="74701" y="13132"/>
                </a:lnTo>
                <a:lnTo>
                  <a:pt x="130035" y="13132"/>
                </a:lnTo>
                <a:lnTo>
                  <a:pt x="126771" y="21183"/>
                </a:lnTo>
                <a:lnTo>
                  <a:pt x="117932" y="21183"/>
                </a:lnTo>
                <a:cubicBezTo>
                  <a:pt x="114109" y="21183"/>
                  <a:pt x="108801" y="24295"/>
                  <a:pt x="108801" y="24295"/>
                </a:cubicBezTo>
                <a:lnTo>
                  <a:pt x="74676" y="54508"/>
                </a:lnTo>
                <a:lnTo>
                  <a:pt x="74676" y="74613"/>
                </a:lnTo>
                <a:cubicBezTo>
                  <a:pt x="74676" y="77177"/>
                  <a:pt x="75273" y="79159"/>
                  <a:pt x="77038" y="79159"/>
                </a:cubicBezTo>
                <a:lnTo>
                  <a:pt x="91440" y="79159"/>
                </a:lnTo>
                <a:cubicBezTo>
                  <a:pt x="92913" y="79159"/>
                  <a:pt x="94666" y="81775"/>
                  <a:pt x="94666" y="81775"/>
                </a:cubicBezTo>
                <a:lnTo>
                  <a:pt x="94666" y="85763"/>
                </a:lnTo>
                <a:lnTo>
                  <a:pt x="33972" y="85763"/>
                </a:lnTo>
                <a:lnTo>
                  <a:pt x="33972" y="80314"/>
                </a:lnTo>
                <a:cubicBezTo>
                  <a:pt x="33972" y="80314"/>
                  <a:pt x="36906" y="79731"/>
                  <a:pt x="44577" y="79731"/>
                </a:cubicBezTo>
                <a:cubicBezTo>
                  <a:pt x="52235" y="79731"/>
                  <a:pt x="54229" y="76327"/>
                  <a:pt x="54229" y="76327"/>
                </a:cubicBezTo>
                <a:lnTo>
                  <a:pt x="54064" y="53098"/>
                </a:lnTo>
                <a:cubicBezTo>
                  <a:pt x="54064" y="53098"/>
                  <a:pt x="27483" y="24892"/>
                  <a:pt x="23647" y="21209"/>
                </a:cubicBezTo>
                <a:cubicBezTo>
                  <a:pt x="19824" y="17500"/>
                  <a:pt x="15405" y="13335"/>
                  <a:pt x="11582" y="13335"/>
                </a:cubicBezTo>
                <a:lnTo>
                  <a:pt x="0" y="13335"/>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1" name="Freeform 11">
            <a:extLst>
              <a:ext uri="{FF2B5EF4-FFF2-40B4-BE49-F238E27FC236}">
                <a16:creationId xmlns:a16="http://schemas.microsoft.com/office/drawing/2014/main" id="{378ECC76-A198-4D0B-A666-BDE7D9C8ABBE}"/>
              </a:ext>
            </a:extLst>
          </xdr:cNvPr>
          <xdr:cNvSpPr/>
        </xdr:nvSpPr>
        <xdr:spPr>
          <a:xfrm>
            <a:off x="46912" y="9018"/>
            <a:ext cx="864" cy="1916"/>
          </a:xfrm>
          <a:custGeom>
            <a:avLst/>
            <a:gdLst/>
            <a:ahLst/>
            <a:cxnLst/>
            <a:rect l="l" t="t" r="r" b="b"/>
            <a:pathLst>
              <a:path w="36322" h="118982">
                <a:moveTo>
                  <a:pt x="36322" y="0"/>
                </a:moveTo>
                <a:lnTo>
                  <a:pt x="36322" y="11643"/>
                </a:lnTo>
                <a:lnTo>
                  <a:pt x="22733" y="20850"/>
                </a:lnTo>
                <a:lnTo>
                  <a:pt x="36322" y="20850"/>
                </a:lnTo>
                <a:lnTo>
                  <a:pt x="36322" y="29435"/>
                </a:lnTo>
                <a:lnTo>
                  <a:pt x="16726" y="29435"/>
                </a:lnTo>
                <a:cubicBezTo>
                  <a:pt x="12268" y="37118"/>
                  <a:pt x="9474" y="45856"/>
                  <a:pt x="8814" y="55191"/>
                </a:cubicBezTo>
                <a:lnTo>
                  <a:pt x="36322" y="55191"/>
                </a:lnTo>
                <a:lnTo>
                  <a:pt x="36322" y="63789"/>
                </a:lnTo>
                <a:lnTo>
                  <a:pt x="8814" y="63789"/>
                </a:lnTo>
                <a:cubicBezTo>
                  <a:pt x="9474" y="73123"/>
                  <a:pt x="12268" y="81860"/>
                  <a:pt x="16726" y="89544"/>
                </a:cubicBezTo>
                <a:lnTo>
                  <a:pt x="36322" y="89544"/>
                </a:lnTo>
                <a:lnTo>
                  <a:pt x="36322" y="98129"/>
                </a:lnTo>
                <a:lnTo>
                  <a:pt x="22733" y="98129"/>
                </a:lnTo>
                <a:lnTo>
                  <a:pt x="36322" y="107336"/>
                </a:lnTo>
                <a:lnTo>
                  <a:pt x="36322" y="118982"/>
                </a:lnTo>
                <a:lnTo>
                  <a:pt x="20122" y="108062"/>
                </a:lnTo>
                <a:cubicBezTo>
                  <a:pt x="7690" y="95634"/>
                  <a:pt x="0" y="78463"/>
                  <a:pt x="0" y="59496"/>
                </a:cubicBezTo>
                <a:cubicBezTo>
                  <a:pt x="0" y="40528"/>
                  <a:pt x="7690" y="23355"/>
                  <a:pt x="20122" y="10923"/>
                </a:cubicBezTo>
                <a:lnTo>
                  <a:pt x="36322"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2" name="Freeform 12">
            <a:extLst>
              <a:ext uri="{FF2B5EF4-FFF2-40B4-BE49-F238E27FC236}">
                <a16:creationId xmlns:a16="http://schemas.microsoft.com/office/drawing/2014/main" id="{E1A17F0C-BF17-4BE6-8674-7B2FFF95C3C4}"/>
              </a:ext>
            </a:extLst>
          </xdr:cNvPr>
          <xdr:cNvSpPr/>
        </xdr:nvSpPr>
        <xdr:spPr>
          <a:xfrm>
            <a:off x="47666" y="8888"/>
            <a:ext cx="887" cy="2238"/>
          </a:xfrm>
          <a:custGeom>
            <a:avLst/>
            <a:gdLst/>
            <a:ahLst/>
            <a:cxnLst/>
            <a:rect l="l" t="t" r="r" b="b"/>
            <a:pathLst>
              <a:path w="32379" h="137376">
                <a:moveTo>
                  <a:pt x="32372" y="0"/>
                </a:moveTo>
                <a:lnTo>
                  <a:pt x="32379" y="1"/>
                </a:lnTo>
                <a:lnTo>
                  <a:pt x="32379" y="8586"/>
                </a:lnTo>
                <a:lnTo>
                  <a:pt x="32372" y="8586"/>
                </a:lnTo>
                <a:cubicBezTo>
                  <a:pt x="29121" y="8586"/>
                  <a:pt x="25959" y="8916"/>
                  <a:pt x="22847" y="9411"/>
                </a:cubicBezTo>
                <a:cubicBezTo>
                  <a:pt x="21629" y="13360"/>
                  <a:pt x="19419" y="20942"/>
                  <a:pt x="17259" y="30049"/>
                </a:cubicBezTo>
                <a:lnTo>
                  <a:pt x="32379" y="30049"/>
                </a:lnTo>
                <a:lnTo>
                  <a:pt x="32379" y="38633"/>
                </a:lnTo>
                <a:lnTo>
                  <a:pt x="15354" y="38633"/>
                </a:lnTo>
                <a:cubicBezTo>
                  <a:pt x="13627" y="47092"/>
                  <a:pt x="12218" y="56134"/>
                  <a:pt x="11836" y="64389"/>
                </a:cubicBezTo>
                <a:lnTo>
                  <a:pt x="32379" y="64389"/>
                </a:lnTo>
                <a:lnTo>
                  <a:pt x="32379" y="72987"/>
                </a:lnTo>
                <a:lnTo>
                  <a:pt x="11836" y="72987"/>
                </a:lnTo>
                <a:cubicBezTo>
                  <a:pt x="12218" y="81242"/>
                  <a:pt x="13627" y="90284"/>
                  <a:pt x="15354" y="98743"/>
                </a:cubicBezTo>
                <a:lnTo>
                  <a:pt x="32379" y="98743"/>
                </a:lnTo>
                <a:lnTo>
                  <a:pt x="32379" y="107328"/>
                </a:lnTo>
                <a:lnTo>
                  <a:pt x="17259" y="107328"/>
                </a:lnTo>
                <a:cubicBezTo>
                  <a:pt x="19419" y="116434"/>
                  <a:pt x="21629" y="124016"/>
                  <a:pt x="22847" y="127965"/>
                </a:cubicBezTo>
                <a:cubicBezTo>
                  <a:pt x="25959" y="128460"/>
                  <a:pt x="29121" y="128791"/>
                  <a:pt x="32372" y="128791"/>
                </a:cubicBezTo>
                <a:lnTo>
                  <a:pt x="32379" y="128790"/>
                </a:lnTo>
                <a:lnTo>
                  <a:pt x="32379" y="137375"/>
                </a:lnTo>
                <a:lnTo>
                  <a:pt x="32372" y="137376"/>
                </a:lnTo>
                <a:cubicBezTo>
                  <a:pt x="22889" y="137376"/>
                  <a:pt x="13853" y="135455"/>
                  <a:pt x="5635" y="131979"/>
                </a:cubicBezTo>
                <a:lnTo>
                  <a:pt x="0" y="128181"/>
                </a:lnTo>
                <a:lnTo>
                  <a:pt x="0" y="116535"/>
                </a:lnTo>
                <a:lnTo>
                  <a:pt x="13589" y="125743"/>
                </a:lnTo>
                <a:cubicBezTo>
                  <a:pt x="12307" y="121488"/>
                  <a:pt x="10465" y="114948"/>
                  <a:pt x="8661" y="107328"/>
                </a:cubicBezTo>
                <a:lnTo>
                  <a:pt x="0" y="107328"/>
                </a:lnTo>
                <a:lnTo>
                  <a:pt x="0" y="98743"/>
                </a:lnTo>
                <a:lnTo>
                  <a:pt x="6757" y="98743"/>
                </a:lnTo>
                <a:cubicBezTo>
                  <a:pt x="5042" y="90297"/>
                  <a:pt x="3632" y="81255"/>
                  <a:pt x="3251" y="72987"/>
                </a:cubicBezTo>
                <a:lnTo>
                  <a:pt x="0" y="72987"/>
                </a:lnTo>
                <a:lnTo>
                  <a:pt x="0" y="64389"/>
                </a:lnTo>
                <a:lnTo>
                  <a:pt x="3251" y="64389"/>
                </a:lnTo>
                <a:cubicBezTo>
                  <a:pt x="3632" y="56121"/>
                  <a:pt x="5042" y="47079"/>
                  <a:pt x="6757" y="38633"/>
                </a:cubicBezTo>
                <a:lnTo>
                  <a:pt x="0" y="38633"/>
                </a:lnTo>
                <a:lnTo>
                  <a:pt x="0" y="30049"/>
                </a:lnTo>
                <a:lnTo>
                  <a:pt x="8661" y="30049"/>
                </a:lnTo>
                <a:cubicBezTo>
                  <a:pt x="10465" y="22441"/>
                  <a:pt x="12319" y="15901"/>
                  <a:pt x="13589" y="11633"/>
                </a:cubicBezTo>
                <a:lnTo>
                  <a:pt x="0" y="20841"/>
                </a:lnTo>
                <a:lnTo>
                  <a:pt x="0" y="9198"/>
                </a:lnTo>
                <a:lnTo>
                  <a:pt x="5635" y="5399"/>
                </a:lnTo>
                <a:cubicBezTo>
                  <a:pt x="13853" y="1922"/>
                  <a:pt x="22889" y="0"/>
                  <a:pt x="32372"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3" name="Freeform 13">
            <a:extLst>
              <a:ext uri="{FF2B5EF4-FFF2-40B4-BE49-F238E27FC236}">
                <a16:creationId xmlns:a16="http://schemas.microsoft.com/office/drawing/2014/main" id="{234DD9D7-9186-40E3-AF00-A0C5410A0877}"/>
              </a:ext>
            </a:extLst>
          </xdr:cNvPr>
          <xdr:cNvSpPr/>
        </xdr:nvSpPr>
        <xdr:spPr>
          <a:xfrm>
            <a:off x="48166" y="8923"/>
            <a:ext cx="532" cy="2106"/>
          </a:xfrm>
          <a:custGeom>
            <a:avLst/>
            <a:gdLst/>
            <a:ahLst/>
            <a:cxnLst/>
            <a:rect l="l" t="t" r="r" b="b"/>
            <a:pathLst>
              <a:path w="32379" h="137374">
                <a:moveTo>
                  <a:pt x="0" y="0"/>
                </a:moveTo>
                <a:lnTo>
                  <a:pt x="26731" y="5398"/>
                </a:lnTo>
                <a:lnTo>
                  <a:pt x="32379" y="9206"/>
                </a:lnTo>
                <a:lnTo>
                  <a:pt x="32379" y="20836"/>
                </a:lnTo>
                <a:lnTo>
                  <a:pt x="18790" y="11632"/>
                </a:lnTo>
                <a:cubicBezTo>
                  <a:pt x="20060" y="15899"/>
                  <a:pt x="21914" y="22440"/>
                  <a:pt x="23718" y="30047"/>
                </a:cubicBezTo>
                <a:lnTo>
                  <a:pt x="32379" y="30047"/>
                </a:lnTo>
                <a:lnTo>
                  <a:pt x="32379" y="38632"/>
                </a:lnTo>
                <a:lnTo>
                  <a:pt x="25610" y="38632"/>
                </a:lnTo>
                <a:cubicBezTo>
                  <a:pt x="27337" y="47078"/>
                  <a:pt x="28747" y="56120"/>
                  <a:pt x="29128" y="64388"/>
                </a:cubicBezTo>
                <a:lnTo>
                  <a:pt x="32379" y="64388"/>
                </a:lnTo>
                <a:lnTo>
                  <a:pt x="32379" y="72986"/>
                </a:lnTo>
                <a:lnTo>
                  <a:pt x="29128" y="72986"/>
                </a:lnTo>
                <a:cubicBezTo>
                  <a:pt x="28747" y="81254"/>
                  <a:pt x="27337" y="90296"/>
                  <a:pt x="25610" y="98742"/>
                </a:cubicBezTo>
                <a:lnTo>
                  <a:pt x="32379" y="98742"/>
                </a:lnTo>
                <a:lnTo>
                  <a:pt x="32379" y="107326"/>
                </a:lnTo>
                <a:lnTo>
                  <a:pt x="23718" y="107326"/>
                </a:lnTo>
                <a:cubicBezTo>
                  <a:pt x="21914" y="114947"/>
                  <a:pt x="20073" y="121487"/>
                  <a:pt x="18790" y="125742"/>
                </a:cubicBezTo>
                <a:lnTo>
                  <a:pt x="32379" y="116534"/>
                </a:lnTo>
                <a:lnTo>
                  <a:pt x="32379" y="128171"/>
                </a:lnTo>
                <a:lnTo>
                  <a:pt x="26731" y="131978"/>
                </a:lnTo>
                <a:lnTo>
                  <a:pt x="0" y="137374"/>
                </a:lnTo>
                <a:lnTo>
                  <a:pt x="0" y="128789"/>
                </a:lnTo>
                <a:lnTo>
                  <a:pt x="9532" y="127964"/>
                </a:lnTo>
                <a:cubicBezTo>
                  <a:pt x="10751" y="124015"/>
                  <a:pt x="12960" y="116420"/>
                  <a:pt x="15120" y="107326"/>
                </a:cubicBezTo>
                <a:lnTo>
                  <a:pt x="0" y="107326"/>
                </a:lnTo>
                <a:lnTo>
                  <a:pt x="0" y="98742"/>
                </a:lnTo>
                <a:lnTo>
                  <a:pt x="17025" y="98742"/>
                </a:lnTo>
                <a:cubicBezTo>
                  <a:pt x="18752" y="90283"/>
                  <a:pt x="20162" y="81240"/>
                  <a:pt x="20543" y="72986"/>
                </a:cubicBezTo>
                <a:lnTo>
                  <a:pt x="0" y="72986"/>
                </a:lnTo>
                <a:lnTo>
                  <a:pt x="0" y="64388"/>
                </a:lnTo>
                <a:lnTo>
                  <a:pt x="20543" y="64388"/>
                </a:lnTo>
                <a:cubicBezTo>
                  <a:pt x="20162" y="56133"/>
                  <a:pt x="18752" y="47091"/>
                  <a:pt x="17025" y="38632"/>
                </a:cubicBezTo>
                <a:lnTo>
                  <a:pt x="0" y="38632"/>
                </a:lnTo>
                <a:lnTo>
                  <a:pt x="0" y="30047"/>
                </a:lnTo>
                <a:lnTo>
                  <a:pt x="15120" y="30047"/>
                </a:lnTo>
                <a:cubicBezTo>
                  <a:pt x="12960" y="20941"/>
                  <a:pt x="10738" y="13359"/>
                  <a:pt x="9519" y="9410"/>
                </a:cubicBezTo>
                <a:lnTo>
                  <a:pt x="0" y="8585"/>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4" name="Freeform 14">
            <a:extLst>
              <a:ext uri="{FF2B5EF4-FFF2-40B4-BE49-F238E27FC236}">
                <a16:creationId xmlns:a16="http://schemas.microsoft.com/office/drawing/2014/main" id="{21826EDC-8452-4644-ADD3-0A992AD7EBDB}"/>
              </a:ext>
            </a:extLst>
          </xdr:cNvPr>
          <xdr:cNvSpPr/>
        </xdr:nvSpPr>
        <xdr:spPr>
          <a:xfrm>
            <a:off x="48663" y="8980"/>
            <a:ext cx="776" cy="1954"/>
          </a:xfrm>
          <a:custGeom>
            <a:avLst/>
            <a:gdLst/>
            <a:ahLst/>
            <a:cxnLst/>
            <a:rect l="l" t="t" r="r" b="b"/>
            <a:pathLst>
              <a:path w="36309" h="118965">
                <a:moveTo>
                  <a:pt x="0" y="0"/>
                </a:moveTo>
                <a:lnTo>
                  <a:pt x="16187" y="10915"/>
                </a:lnTo>
                <a:cubicBezTo>
                  <a:pt x="28619" y="23346"/>
                  <a:pt x="36309" y="40520"/>
                  <a:pt x="36309" y="59487"/>
                </a:cubicBezTo>
                <a:cubicBezTo>
                  <a:pt x="36309" y="78455"/>
                  <a:pt x="28619" y="95625"/>
                  <a:pt x="16187" y="108054"/>
                </a:cubicBezTo>
                <a:lnTo>
                  <a:pt x="0" y="118965"/>
                </a:lnTo>
                <a:lnTo>
                  <a:pt x="0" y="107328"/>
                </a:lnTo>
                <a:lnTo>
                  <a:pt x="13589" y="98121"/>
                </a:lnTo>
                <a:lnTo>
                  <a:pt x="0" y="98121"/>
                </a:lnTo>
                <a:lnTo>
                  <a:pt x="0" y="89536"/>
                </a:lnTo>
                <a:lnTo>
                  <a:pt x="19596" y="89536"/>
                </a:lnTo>
                <a:cubicBezTo>
                  <a:pt x="24054" y="81852"/>
                  <a:pt x="26848" y="73114"/>
                  <a:pt x="27508" y="63780"/>
                </a:cubicBezTo>
                <a:lnTo>
                  <a:pt x="0" y="63780"/>
                </a:lnTo>
                <a:lnTo>
                  <a:pt x="0" y="55182"/>
                </a:lnTo>
                <a:lnTo>
                  <a:pt x="27508" y="55182"/>
                </a:lnTo>
                <a:cubicBezTo>
                  <a:pt x="26848" y="45848"/>
                  <a:pt x="24054" y="37110"/>
                  <a:pt x="19596" y="29426"/>
                </a:cubicBezTo>
                <a:lnTo>
                  <a:pt x="0" y="29426"/>
                </a:lnTo>
                <a:lnTo>
                  <a:pt x="0" y="20842"/>
                </a:lnTo>
                <a:lnTo>
                  <a:pt x="13601" y="20842"/>
                </a:lnTo>
                <a:lnTo>
                  <a:pt x="0" y="11630"/>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5" name="Freeform 15">
            <a:extLst>
              <a:ext uri="{FF2B5EF4-FFF2-40B4-BE49-F238E27FC236}">
                <a16:creationId xmlns:a16="http://schemas.microsoft.com/office/drawing/2014/main" id="{2844B427-438C-4049-B026-88B4EE8D7485}"/>
              </a:ext>
            </a:extLst>
          </xdr:cNvPr>
          <xdr:cNvSpPr/>
        </xdr:nvSpPr>
        <xdr:spPr>
          <a:xfrm>
            <a:off x="47887" y="-259"/>
            <a:ext cx="1220" cy="1806"/>
          </a:xfrm>
          <a:custGeom>
            <a:avLst/>
            <a:gdLst/>
            <a:ahLst/>
            <a:cxnLst/>
            <a:rect l="l" t="t" r="r" b="b"/>
            <a:pathLst>
              <a:path w="32785" h="135280">
                <a:moveTo>
                  <a:pt x="9220" y="0"/>
                </a:moveTo>
                <a:lnTo>
                  <a:pt x="32785" y="0"/>
                </a:lnTo>
                <a:lnTo>
                  <a:pt x="32785" y="5518"/>
                </a:lnTo>
                <a:lnTo>
                  <a:pt x="32741" y="5474"/>
                </a:lnTo>
                <a:cubicBezTo>
                  <a:pt x="32080" y="5474"/>
                  <a:pt x="31547" y="6007"/>
                  <a:pt x="31547" y="6668"/>
                </a:cubicBezTo>
                <a:cubicBezTo>
                  <a:pt x="31547" y="7328"/>
                  <a:pt x="32080" y="7862"/>
                  <a:pt x="32741" y="7862"/>
                </a:cubicBezTo>
                <a:lnTo>
                  <a:pt x="32785" y="7817"/>
                </a:lnTo>
                <a:lnTo>
                  <a:pt x="32785" y="10478"/>
                </a:lnTo>
                <a:lnTo>
                  <a:pt x="28232" y="10478"/>
                </a:lnTo>
                <a:cubicBezTo>
                  <a:pt x="27521" y="10478"/>
                  <a:pt x="26950" y="11049"/>
                  <a:pt x="26950" y="11761"/>
                </a:cubicBezTo>
                <a:cubicBezTo>
                  <a:pt x="26950" y="12471"/>
                  <a:pt x="27521" y="13043"/>
                  <a:pt x="28232" y="13043"/>
                </a:cubicBezTo>
                <a:lnTo>
                  <a:pt x="32785" y="13043"/>
                </a:lnTo>
                <a:lnTo>
                  <a:pt x="32785" y="19215"/>
                </a:lnTo>
                <a:lnTo>
                  <a:pt x="5359" y="19215"/>
                </a:lnTo>
                <a:lnTo>
                  <a:pt x="5359" y="115989"/>
                </a:lnTo>
                <a:lnTo>
                  <a:pt x="32785" y="115989"/>
                </a:lnTo>
                <a:lnTo>
                  <a:pt x="32785" y="119742"/>
                </a:lnTo>
                <a:lnTo>
                  <a:pt x="26950" y="125565"/>
                </a:lnTo>
                <a:lnTo>
                  <a:pt x="32785" y="131400"/>
                </a:lnTo>
                <a:lnTo>
                  <a:pt x="32785" y="135280"/>
                </a:lnTo>
                <a:lnTo>
                  <a:pt x="9995" y="135280"/>
                </a:lnTo>
                <a:cubicBezTo>
                  <a:pt x="4813" y="135280"/>
                  <a:pt x="622" y="131090"/>
                  <a:pt x="622" y="125908"/>
                </a:cubicBezTo>
                <a:lnTo>
                  <a:pt x="622" y="47358"/>
                </a:lnTo>
                <a:lnTo>
                  <a:pt x="343" y="47358"/>
                </a:lnTo>
                <a:cubicBezTo>
                  <a:pt x="152" y="47358"/>
                  <a:pt x="0" y="47206"/>
                  <a:pt x="0" y="47016"/>
                </a:cubicBezTo>
                <a:lnTo>
                  <a:pt x="0" y="43129"/>
                </a:lnTo>
                <a:cubicBezTo>
                  <a:pt x="0" y="42938"/>
                  <a:pt x="152" y="42787"/>
                  <a:pt x="343" y="42787"/>
                </a:cubicBezTo>
                <a:lnTo>
                  <a:pt x="622" y="42787"/>
                </a:lnTo>
                <a:lnTo>
                  <a:pt x="622" y="36055"/>
                </a:lnTo>
                <a:lnTo>
                  <a:pt x="343" y="36055"/>
                </a:lnTo>
                <a:cubicBezTo>
                  <a:pt x="152" y="36055"/>
                  <a:pt x="0" y="35903"/>
                  <a:pt x="0" y="35713"/>
                </a:cubicBezTo>
                <a:lnTo>
                  <a:pt x="0" y="31826"/>
                </a:lnTo>
                <a:cubicBezTo>
                  <a:pt x="0" y="31636"/>
                  <a:pt x="152" y="31483"/>
                  <a:pt x="343" y="31483"/>
                </a:cubicBezTo>
                <a:lnTo>
                  <a:pt x="622" y="31483"/>
                </a:lnTo>
                <a:lnTo>
                  <a:pt x="622" y="24499"/>
                </a:lnTo>
                <a:lnTo>
                  <a:pt x="343" y="24499"/>
                </a:lnTo>
                <a:cubicBezTo>
                  <a:pt x="152" y="24499"/>
                  <a:pt x="0" y="24346"/>
                  <a:pt x="0" y="24155"/>
                </a:cubicBezTo>
                <a:lnTo>
                  <a:pt x="0" y="19329"/>
                </a:lnTo>
                <a:cubicBezTo>
                  <a:pt x="0" y="19139"/>
                  <a:pt x="152" y="18986"/>
                  <a:pt x="343" y="18986"/>
                </a:cubicBezTo>
                <a:lnTo>
                  <a:pt x="622" y="18986"/>
                </a:lnTo>
                <a:lnTo>
                  <a:pt x="622" y="9372"/>
                </a:lnTo>
                <a:cubicBezTo>
                  <a:pt x="622" y="4191"/>
                  <a:pt x="4813" y="0"/>
                  <a:pt x="9220"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6" name="Freeform 16">
            <a:extLst>
              <a:ext uri="{FF2B5EF4-FFF2-40B4-BE49-F238E27FC236}">
                <a16:creationId xmlns:a16="http://schemas.microsoft.com/office/drawing/2014/main" id="{64E4E3BF-F845-4673-92B0-D224365187EB}"/>
              </a:ext>
            </a:extLst>
          </xdr:cNvPr>
          <xdr:cNvSpPr/>
        </xdr:nvSpPr>
        <xdr:spPr>
          <a:xfrm>
            <a:off x="48574" y="-273"/>
            <a:ext cx="532" cy="1724"/>
          </a:xfrm>
          <a:custGeom>
            <a:avLst/>
            <a:gdLst/>
            <a:ahLst/>
            <a:cxnLst/>
            <a:rect l="l" t="t" r="r" b="b"/>
            <a:pathLst>
              <a:path w="31909" h="135915">
                <a:moveTo>
                  <a:pt x="11399" y="0"/>
                </a:moveTo>
                <a:lnTo>
                  <a:pt x="20936" y="0"/>
                </a:lnTo>
                <a:cubicBezTo>
                  <a:pt x="21127" y="0"/>
                  <a:pt x="21279" y="152"/>
                  <a:pt x="21279" y="343"/>
                </a:cubicBezTo>
                <a:lnTo>
                  <a:pt x="21279" y="635"/>
                </a:lnTo>
                <a:lnTo>
                  <a:pt x="21774" y="635"/>
                </a:lnTo>
                <a:cubicBezTo>
                  <a:pt x="27718" y="635"/>
                  <a:pt x="31909" y="4826"/>
                  <a:pt x="31909" y="10007"/>
                </a:cubicBezTo>
                <a:lnTo>
                  <a:pt x="31909" y="126543"/>
                </a:lnTo>
                <a:cubicBezTo>
                  <a:pt x="31909" y="131725"/>
                  <a:pt x="27718" y="135915"/>
                  <a:pt x="22536" y="135915"/>
                </a:cubicBezTo>
                <a:lnTo>
                  <a:pt x="0" y="135915"/>
                </a:lnTo>
                <a:lnTo>
                  <a:pt x="0" y="132035"/>
                </a:lnTo>
                <a:lnTo>
                  <a:pt x="7" y="132042"/>
                </a:lnTo>
                <a:cubicBezTo>
                  <a:pt x="3220" y="132042"/>
                  <a:pt x="5836" y="129425"/>
                  <a:pt x="5836" y="126200"/>
                </a:cubicBezTo>
                <a:cubicBezTo>
                  <a:pt x="5836" y="122974"/>
                  <a:pt x="3220" y="120370"/>
                  <a:pt x="7" y="120370"/>
                </a:cubicBezTo>
                <a:lnTo>
                  <a:pt x="0" y="120377"/>
                </a:lnTo>
                <a:lnTo>
                  <a:pt x="0" y="116624"/>
                </a:lnTo>
                <a:lnTo>
                  <a:pt x="27096" y="116624"/>
                </a:lnTo>
                <a:lnTo>
                  <a:pt x="27096" y="19850"/>
                </a:lnTo>
                <a:lnTo>
                  <a:pt x="0" y="19850"/>
                </a:lnTo>
                <a:lnTo>
                  <a:pt x="0" y="13677"/>
                </a:lnTo>
                <a:lnTo>
                  <a:pt x="4477" y="13677"/>
                </a:lnTo>
                <a:cubicBezTo>
                  <a:pt x="5188" y="13677"/>
                  <a:pt x="5760" y="13106"/>
                  <a:pt x="5760" y="12395"/>
                </a:cubicBezTo>
                <a:cubicBezTo>
                  <a:pt x="5760" y="11684"/>
                  <a:pt x="5188" y="11113"/>
                  <a:pt x="4477" y="11113"/>
                </a:cubicBezTo>
                <a:lnTo>
                  <a:pt x="0" y="11113"/>
                </a:lnTo>
                <a:lnTo>
                  <a:pt x="0" y="8452"/>
                </a:lnTo>
                <a:lnTo>
                  <a:pt x="1150" y="7303"/>
                </a:lnTo>
                <a:lnTo>
                  <a:pt x="0" y="6153"/>
                </a:lnTo>
                <a:lnTo>
                  <a:pt x="0" y="635"/>
                </a:lnTo>
                <a:lnTo>
                  <a:pt x="11056" y="635"/>
                </a:lnTo>
                <a:lnTo>
                  <a:pt x="11056" y="343"/>
                </a:lnTo>
                <a:cubicBezTo>
                  <a:pt x="11056" y="152"/>
                  <a:pt x="11208" y="0"/>
                  <a:pt x="11399"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7" name="Freeform 17">
            <a:extLst>
              <a:ext uri="{FF2B5EF4-FFF2-40B4-BE49-F238E27FC236}">
                <a16:creationId xmlns:a16="http://schemas.microsoft.com/office/drawing/2014/main" id="{0EAD5CE4-9DD0-4C09-BA6B-CF74C401208F}"/>
              </a:ext>
            </a:extLst>
          </xdr:cNvPr>
          <xdr:cNvSpPr/>
        </xdr:nvSpPr>
        <xdr:spPr>
          <a:xfrm>
            <a:off x="47665" y="2505"/>
            <a:ext cx="1663" cy="1532"/>
          </a:xfrm>
          <a:custGeom>
            <a:avLst/>
            <a:gdLst/>
            <a:ahLst/>
            <a:cxnLst/>
            <a:rect l="l" t="t" r="r" b="b"/>
            <a:pathLst>
              <a:path w="140462" h="135319">
                <a:moveTo>
                  <a:pt x="70231" y="0"/>
                </a:moveTo>
                <a:lnTo>
                  <a:pt x="140462" y="65075"/>
                </a:lnTo>
                <a:lnTo>
                  <a:pt x="119901" y="65075"/>
                </a:lnTo>
                <a:lnTo>
                  <a:pt x="119901" y="135319"/>
                </a:lnTo>
                <a:lnTo>
                  <a:pt x="84112" y="135319"/>
                </a:lnTo>
                <a:lnTo>
                  <a:pt x="84112" y="90767"/>
                </a:lnTo>
                <a:lnTo>
                  <a:pt x="56375" y="90767"/>
                </a:lnTo>
                <a:lnTo>
                  <a:pt x="56375" y="135319"/>
                </a:lnTo>
                <a:lnTo>
                  <a:pt x="20574" y="135319"/>
                </a:lnTo>
                <a:lnTo>
                  <a:pt x="20574" y="65075"/>
                </a:lnTo>
                <a:lnTo>
                  <a:pt x="0" y="65075"/>
                </a:lnTo>
                <a:lnTo>
                  <a:pt x="70231"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18" name="Freeform 18">
            <a:extLst>
              <a:ext uri="{FF2B5EF4-FFF2-40B4-BE49-F238E27FC236}">
                <a16:creationId xmlns:a16="http://schemas.microsoft.com/office/drawing/2014/main" id="{29758EF9-6B1E-4B42-A0E0-6073EBB0285F}"/>
              </a:ext>
            </a:extLst>
          </xdr:cNvPr>
          <xdr:cNvSpPr/>
        </xdr:nvSpPr>
        <xdr:spPr>
          <a:xfrm flipV="1">
            <a:off x="0" y="15425"/>
            <a:ext cx="75600" cy="987"/>
          </a:xfrm>
          <a:custGeom>
            <a:avLst/>
            <a:gdLst/>
            <a:ahLst/>
            <a:cxnLst/>
            <a:rect l="l" t="t" r="r" b="b"/>
            <a:pathLst>
              <a:path w="7560057">
                <a:moveTo>
                  <a:pt x="7560057" y="0"/>
                </a:moveTo>
                <a:lnTo>
                  <a:pt x="0" y="0"/>
                </a:lnTo>
                <a:lnTo>
                  <a:pt x="7560057" y="0"/>
                </a:lnTo>
                <a:close/>
              </a:path>
            </a:pathLst>
          </a:custGeom>
          <a:solidFill>
            <a:srgbClr val="422874"/>
          </a:solidFill>
          <a:ln w="26669" cap="flat" cmpd="sng">
            <a:solidFill>
              <a:srgbClr val="422874"/>
            </a:solidFill>
            <a:prstDash val="solid"/>
            <a:miter/>
            <a:headEnd type="none" w="med" len="med"/>
            <a:tailEnd type="none" w="med" len="med"/>
          </a:ln>
        </xdr:spPr>
        <xdr:txBody>
          <a:bodyPr wrap="square">
            <a:prstTxWarp prst="textNoShape">
              <a:avLst/>
            </a:prstTxWarp>
          </a:bodyPr>
          <a:lstStyle/>
          <a:p>
            <a:endParaRPr lang="en-US" sz="1100"/>
          </a:p>
        </xdr:txBody>
      </xdr:sp>
      <xdr:sp macro="" textlink="">
        <xdr:nvSpPr>
          <xdr:cNvPr id="19" name="Freeform 19">
            <a:extLst>
              <a:ext uri="{FF2B5EF4-FFF2-40B4-BE49-F238E27FC236}">
                <a16:creationId xmlns:a16="http://schemas.microsoft.com/office/drawing/2014/main" id="{2D7B34B9-3868-4B8A-B5AC-E73AEAFC8803}"/>
              </a:ext>
            </a:extLst>
          </xdr:cNvPr>
          <xdr:cNvSpPr/>
        </xdr:nvSpPr>
        <xdr:spPr>
          <a:xfrm>
            <a:off x="6423" y="3585"/>
            <a:ext cx="3750" cy="5115"/>
          </a:xfrm>
          <a:custGeom>
            <a:avLst/>
            <a:gdLst/>
            <a:ahLst/>
            <a:cxnLst/>
            <a:rect l="l" t="t" r="r" b="b"/>
            <a:pathLst>
              <a:path w="375006" h="511467">
                <a:moveTo>
                  <a:pt x="181013" y="0"/>
                </a:moveTo>
                <a:cubicBezTo>
                  <a:pt x="228727" y="0"/>
                  <a:pt x="268719" y="14504"/>
                  <a:pt x="300990" y="43498"/>
                </a:cubicBezTo>
                <a:cubicBezTo>
                  <a:pt x="333261" y="72505"/>
                  <a:pt x="349390" y="108052"/>
                  <a:pt x="349390" y="150140"/>
                </a:cubicBezTo>
                <a:cubicBezTo>
                  <a:pt x="349390" y="170028"/>
                  <a:pt x="344780" y="187567"/>
                  <a:pt x="335534" y="202756"/>
                </a:cubicBezTo>
                <a:cubicBezTo>
                  <a:pt x="326301" y="217970"/>
                  <a:pt x="312445" y="231064"/>
                  <a:pt x="293967" y="242050"/>
                </a:cubicBezTo>
                <a:cubicBezTo>
                  <a:pt x="320154" y="254216"/>
                  <a:pt x="340208" y="270815"/>
                  <a:pt x="354127" y="291871"/>
                </a:cubicBezTo>
                <a:cubicBezTo>
                  <a:pt x="368046" y="312916"/>
                  <a:pt x="375006" y="337248"/>
                  <a:pt x="375006" y="364833"/>
                </a:cubicBezTo>
                <a:cubicBezTo>
                  <a:pt x="375006" y="383781"/>
                  <a:pt x="371843" y="401434"/>
                  <a:pt x="365531" y="417805"/>
                </a:cubicBezTo>
                <a:cubicBezTo>
                  <a:pt x="359220" y="434175"/>
                  <a:pt x="349987" y="448920"/>
                  <a:pt x="337820" y="462014"/>
                </a:cubicBezTo>
                <a:cubicBezTo>
                  <a:pt x="320751" y="479781"/>
                  <a:pt x="300812" y="492481"/>
                  <a:pt x="278003" y="500076"/>
                </a:cubicBezTo>
                <a:cubicBezTo>
                  <a:pt x="255206" y="507670"/>
                  <a:pt x="222644" y="511467"/>
                  <a:pt x="180315" y="511467"/>
                </a:cubicBezTo>
                <a:lnTo>
                  <a:pt x="145237" y="511467"/>
                </a:lnTo>
                <a:lnTo>
                  <a:pt x="145237" y="399568"/>
                </a:lnTo>
                <a:lnTo>
                  <a:pt x="187681" y="399568"/>
                </a:lnTo>
                <a:cubicBezTo>
                  <a:pt x="206146" y="399568"/>
                  <a:pt x="220586" y="395415"/>
                  <a:pt x="231000" y="387109"/>
                </a:cubicBezTo>
                <a:cubicBezTo>
                  <a:pt x="241414" y="378816"/>
                  <a:pt x="246609" y="367297"/>
                  <a:pt x="246609" y="352552"/>
                </a:cubicBezTo>
                <a:cubicBezTo>
                  <a:pt x="246609" y="337820"/>
                  <a:pt x="241414" y="326251"/>
                  <a:pt x="231000" y="317830"/>
                </a:cubicBezTo>
                <a:cubicBezTo>
                  <a:pt x="220586" y="309397"/>
                  <a:pt x="206146" y="305194"/>
                  <a:pt x="187681" y="305194"/>
                </a:cubicBezTo>
                <a:lnTo>
                  <a:pt x="145237" y="305194"/>
                </a:lnTo>
                <a:lnTo>
                  <a:pt x="145237" y="204877"/>
                </a:lnTo>
                <a:lnTo>
                  <a:pt x="163817" y="204877"/>
                </a:lnTo>
                <a:cubicBezTo>
                  <a:pt x="184404" y="204877"/>
                  <a:pt x="199834" y="200902"/>
                  <a:pt x="210122" y="192951"/>
                </a:cubicBezTo>
                <a:cubicBezTo>
                  <a:pt x="220421" y="184989"/>
                  <a:pt x="225565" y="173075"/>
                  <a:pt x="225565" y="157163"/>
                </a:cubicBezTo>
                <a:cubicBezTo>
                  <a:pt x="225565" y="143599"/>
                  <a:pt x="221120" y="132321"/>
                  <a:pt x="212242" y="123305"/>
                </a:cubicBezTo>
                <a:cubicBezTo>
                  <a:pt x="203340" y="114313"/>
                  <a:pt x="192240" y="109804"/>
                  <a:pt x="178905" y="109804"/>
                </a:cubicBezTo>
                <a:cubicBezTo>
                  <a:pt x="161366" y="109804"/>
                  <a:pt x="148031" y="115760"/>
                  <a:pt x="138913" y="127686"/>
                </a:cubicBezTo>
                <a:cubicBezTo>
                  <a:pt x="129794" y="139624"/>
                  <a:pt x="125235" y="156934"/>
                  <a:pt x="125235" y="179616"/>
                </a:cubicBezTo>
                <a:lnTo>
                  <a:pt x="125235" y="510769"/>
                </a:lnTo>
                <a:lnTo>
                  <a:pt x="0" y="510769"/>
                </a:lnTo>
                <a:lnTo>
                  <a:pt x="0" y="182423"/>
                </a:lnTo>
                <a:cubicBezTo>
                  <a:pt x="0" y="127927"/>
                  <a:pt x="16662" y="83909"/>
                  <a:pt x="49987" y="50343"/>
                </a:cubicBezTo>
                <a:cubicBezTo>
                  <a:pt x="83312" y="16790"/>
                  <a:pt x="126987" y="0"/>
                  <a:pt x="181013"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0" name="Freeform 20">
            <a:extLst>
              <a:ext uri="{FF2B5EF4-FFF2-40B4-BE49-F238E27FC236}">
                <a16:creationId xmlns:a16="http://schemas.microsoft.com/office/drawing/2014/main" id="{68045BEC-A743-41C7-80FF-7275A3944DF3}"/>
              </a:ext>
            </a:extLst>
          </xdr:cNvPr>
          <xdr:cNvSpPr/>
        </xdr:nvSpPr>
        <xdr:spPr>
          <a:xfrm>
            <a:off x="10294" y="4929"/>
            <a:ext cx="2447" cy="2520"/>
          </a:xfrm>
          <a:custGeom>
            <a:avLst/>
            <a:gdLst/>
            <a:ahLst/>
            <a:cxnLst/>
            <a:rect l="l" t="t" r="r" b="b"/>
            <a:pathLst>
              <a:path w="244716" h="251930">
                <a:moveTo>
                  <a:pt x="122606" y="0"/>
                </a:moveTo>
                <a:cubicBezTo>
                  <a:pt x="147117" y="0"/>
                  <a:pt x="169316" y="6286"/>
                  <a:pt x="189192" y="18872"/>
                </a:cubicBezTo>
                <a:cubicBezTo>
                  <a:pt x="209055" y="31445"/>
                  <a:pt x="223964" y="48641"/>
                  <a:pt x="233909" y="70434"/>
                </a:cubicBezTo>
                <a:cubicBezTo>
                  <a:pt x="237744" y="78766"/>
                  <a:pt x="240513" y="88024"/>
                  <a:pt x="242189" y="98196"/>
                </a:cubicBezTo>
                <a:cubicBezTo>
                  <a:pt x="243878" y="108382"/>
                  <a:pt x="244716" y="124523"/>
                  <a:pt x="244716" y="146634"/>
                </a:cubicBezTo>
                <a:lnTo>
                  <a:pt x="244716" y="248565"/>
                </a:lnTo>
                <a:lnTo>
                  <a:pt x="168516" y="248565"/>
                </a:lnTo>
                <a:lnTo>
                  <a:pt x="168516" y="131979"/>
                </a:lnTo>
                <a:cubicBezTo>
                  <a:pt x="168516" y="114021"/>
                  <a:pt x="164592" y="100483"/>
                  <a:pt x="156743" y="91339"/>
                </a:cubicBezTo>
                <a:cubicBezTo>
                  <a:pt x="148882" y="82207"/>
                  <a:pt x="137185" y="77648"/>
                  <a:pt x="121641" y="77648"/>
                </a:cubicBezTo>
                <a:cubicBezTo>
                  <a:pt x="108814" y="77648"/>
                  <a:pt x="98400" y="82093"/>
                  <a:pt x="90386" y="90983"/>
                </a:cubicBezTo>
                <a:cubicBezTo>
                  <a:pt x="82372" y="99873"/>
                  <a:pt x="78372" y="111544"/>
                  <a:pt x="78372" y="125959"/>
                </a:cubicBezTo>
                <a:cubicBezTo>
                  <a:pt x="78372" y="140869"/>
                  <a:pt x="82575" y="152730"/>
                  <a:pt x="90996" y="161544"/>
                </a:cubicBezTo>
                <a:cubicBezTo>
                  <a:pt x="99403" y="170358"/>
                  <a:pt x="110896" y="174765"/>
                  <a:pt x="125489" y="174765"/>
                </a:cubicBezTo>
                <a:cubicBezTo>
                  <a:pt x="129007" y="174765"/>
                  <a:pt x="133096" y="174282"/>
                  <a:pt x="137744" y="173317"/>
                </a:cubicBezTo>
                <a:cubicBezTo>
                  <a:pt x="142392" y="172365"/>
                  <a:pt x="148488" y="170676"/>
                  <a:pt x="156007" y="168275"/>
                </a:cubicBezTo>
                <a:lnTo>
                  <a:pt x="156007" y="248082"/>
                </a:lnTo>
                <a:cubicBezTo>
                  <a:pt x="149771" y="249365"/>
                  <a:pt x="143840" y="250330"/>
                  <a:pt x="138227" y="250978"/>
                </a:cubicBezTo>
                <a:cubicBezTo>
                  <a:pt x="132613" y="251613"/>
                  <a:pt x="127406" y="251930"/>
                  <a:pt x="122606" y="251930"/>
                </a:cubicBezTo>
                <a:cubicBezTo>
                  <a:pt x="87020" y="251930"/>
                  <a:pt x="57696" y="240068"/>
                  <a:pt x="34620" y="216357"/>
                </a:cubicBezTo>
                <a:cubicBezTo>
                  <a:pt x="11544" y="192634"/>
                  <a:pt x="0" y="162497"/>
                  <a:pt x="0" y="125959"/>
                </a:cubicBezTo>
                <a:cubicBezTo>
                  <a:pt x="0" y="89421"/>
                  <a:pt x="11544" y="59296"/>
                  <a:pt x="34620" y="35573"/>
                </a:cubicBezTo>
                <a:cubicBezTo>
                  <a:pt x="57696" y="11862"/>
                  <a:pt x="87020" y="0"/>
                  <a:pt x="122606"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1" name="Freeform 21">
            <a:extLst>
              <a:ext uri="{FF2B5EF4-FFF2-40B4-BE49-F238E27FC236}">
                <a16:creationId xmlns:a16="http://schemas.microsoft.com/office/drawing/2014/main" id="{8A5E844A-1E79-4606-AB48-4A77993453BB}"/>
              </a:ext>
            </a:extLst>
          </xdr:cNvPr>
          <xdr:cNvSpPr/>
        </xdr:nvSpPr>
        <xdr:spPr>
          <a:xfrm>
            <a:off x="13164" y="4977"/>
            <a:ext cx="1560" cy="2438"/>
          </a:xfrm>
          <a:custGeom>
            <a:avLst/>
            <a:gdLst/>
            <a:ahLst/>
            <a:cxnLst/>
            <a:rect l="l" t="t" r="r" b="b"/>
            <a:pathLst>
              <a:path w="156019" h="243764">
                <a:moveTo>
                  <a:pt x="0" y="0"/>
                </a:moveTo>
                <a:lnTo>
                  <a:pt x="70434" y="0"/>
                </a:lnTo>
                <a:lnTo>
                  <a:pt x="70434" y="36538"/>
                </a:lnTo>
                <a:cubicBezTo>
                  <a:pt x="78130" y="23889"/>
                  <a:pt x="88062" y="14631"/>
                  <a:pt x="100241" y="8776"/>
                </a:cubicBezTo>
                <a:cubicBezTo>
                  <a:pt x="112420" y="2934"/>
                  <a:pt x="127965" y="0"/>
                  <a:pt x="146876" y="0"/>
                </a:cubicBezTo>
                <a:lnTo>
                  <a:pt x="156019" y="0"/>
                </a:lnTo>
                <a:lnTo>
                  <a:pt x="156019" y="73800"/>
                </a:lnTo>
                <a:lnTo>
                  <a:pt x="152654" y="73800"/>
                </a:lnTo>
                <a:cubicBezTo>
                  <a:pt x="124917" y="73800"/>
                  <a:pt x="104927" y="79934"/>
                  <a:pt x="92672" y="92190"/>
                </a:cubicBezTo>
                <a:cubicBezTo>
                  <a:pt x="80416" y="104458"/>
                  <a:pt x="74282" y="124447"/>
                  <a:pt x="74282" y="152172"/>
                </a:cubicBezTo>
                <a:lnTo>
                  <a:pt x="74282" y="243764"/>
                </a:lnTo>
                <a:lnTo>
                  <a:pt x="0" y="243764"/>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2" name="Freeform 22">
            <a:extLst>
              <a:ext uri="{FF2B5EF4-FFF2-40B4-BE49-F238E27FC236}">
                <a16:creationId xmlns:a16="http://schemas.microsoft.com/office/drawing/2014/main" id="{74B90830-DB9C-40F1-BEC7-D5183EDB4AA9}"/>
              </a:ext>
            </a:extLst>
          </xdr:cNvPr>
          <xdr:cNvSpPr/>
        </xdr:nvSpPr>
        <xdr:spPr>
          <a:xfrm>
            <a:off x="14943" y="4929"/>
            <a:ext cx="3534" cy="2486"/>
          </a:xfrm>
          <a:custGeom>
            <a:avLst/>
            <a:gdLst/>
            <a:ahLst/>
            <a:cxnLst/>
            <a:rect l="l" t="t" r="r" b="b"/>
            <a:pathLst>
              <a:path w="353377" h="248565">
                <a:moveTo>
                  <a:pt x="104330" y="0"/>
                </a:moveTo>
                <a:cubicBezTo>
                  <a:pt x="118275" y="0"/>
                  <a:pt x="131382" y="2718"/>
                  <a:pt x="143637" y="8166"/>
                </a:cubicBezTo>
                <a:cubicBezTo>
                  <a:pt x="155892" y="13615"/>
                  <a:pt x="166751" y="21552"/>
                  <a:pt x="176213" y="31966"/>
                </a:cubicBezTo>
                <a:cubicBezTo>
                  <a:pt x="185992" y="21717"/>
                  <a:pt x="196964" y="13818"/>
                  <a:pt x="209144" y="8293"/>
                </a:cubicBezTo>
                <a:cubicBezTo>
                  <a:pt x="221323" y="2769"/>
                  <a:pt x="233655" y="0"/>
                  <a:pt x="246164" y="0"/>
                </a:cubicBezTo>
                <a:cubicBezTo>
                  <a:pt x="278537" y="0"/>
                  <a:pt x="304495" y="10859"/>
                  <a:pt x="324053" y="32563"/>
                </a:cubicBezTo>
                <a:cubicBezTo>
                  <a:pt x="343598" y="54293"/>
                  <a:pt x="353377" y="83414"/>
                  <a:pt x="353377" y="119952"/>
                </a:cubicBezTo>
                <a:lnTo>
                  <a:pt x="353377" y="248565"/>
                </a:lnTo>
                <a:lnTo>
                  <a:pt x="277660" y="248565"/>
                </a:lnTo>
                <a:lnTo>
                  <a:pt x="277660" y="108179"/>
                </a:lnTo>
                <a:cubicBezTo>
                  <a:pt x="277660" y="98235"/>
                  <a:pt x="274688" y="90018"/>
                  <a:pt x="268757" y="83528"/>
                </a:cubicBezTo>
                <a:cubicBezTo>
                  <a:pt x="262827" y="77039"/>
                  <a:pt x="255295" y="73800"/>
                  <a:pt x="246164" y="73800"/>
                </a:cubicBezTo>
                <a:cubicBezTo>
                  <a:pt x="237020" y="73800"/>
                  <a:pt x="229413" y="77039"/>
                  <a:pt x="223329" y="83528"/>
                </a:cubicBezTo>
                <a:cubicBezTo>
                  <a:pt x="217233" y="90018"/>
                  <a:pt x="214186" y="98235"/>
                  <a:pt x="214186" y="108179"/>
                </a:cubicBezTo>
                <a:lnTo>
                  <a:pt x="214186" y="248565"/>
                </a:lnTo>
                <a:lnTo>
                  <a:pt x="138951" y="248565"/>
                </a:lnTo>
                <a:lnTo>
                  <a:pt x="138951" y="108179"/>
                </a:lnTo>
                <a:cubicBezTo>
                  <a:pt x="138951" y="98235"/>
                  <a:pt x="135903" y="90018"/>
                  <a:pt x="129807" y="83528"/>
                </a:cubicBezTo>
                <a:cubicBezTo>
                  <a:pt x="123723" y="77039"/>
                  <a:pt x="116027" y="73800"/>
                  <a:pt x="106731" y="73800"/>
                </a:cubicBezTo>
                <a:cubicBezTo>
                  <a:pt x="97599" y="73800"/>
                  <a:pt x="90056" y="77039"/>
                  <a:pt x="84138" y="83528"/>
                </a:cubicBezTo>
                <a:cubicBezTo>
                  <a:pt x="78207" y="90018"/>
                  <a:pt x="75248" y="98235"/>
                  <a:pt x="75248" y="108179"/>
                </a:cubicBezTo>
                <a:lnTo>
                  <a:pt x="75248" y="248565"/>
                </a:lnTo>
                <a:lnTo>
                  <a:pt x="0" y="248565"/>
                </a:lnTo>
                <a:lnTo>
                  <a:pt x="0" y="119952"/>
                </a:lnTo>
                <a:cubicBezTo>
                  <a:pt x="0" y="83896"/>
                  <a:pt x="9652" y="54890"/>
                  <a:pt x="28969" y="32931"/>
                </a:cubicBezTo>
                <a:cubicBezTo>
                  <a:pt x="48285" y="10973"/>
                  <a:pt x="73406" y="0"/>
                  <a:pt x="104330"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3" name="Freeform 23">
            <a:extLst>
              <a:ext uri="{FF2B5EF4-FFF2-40B4-BE49-F238E27FC236}">
                <a16:creationId xmlns:a16="http://schemas.microsoft.com/office/drawing/2014/main" id="{12D95884-596C-49DF-8B41-6AC0A226279B}"/>
              </a:ext>
            </a:extLst>
          </xdr:cNvPr>
          <xdr:cNvSpPr/>
        </xdr:nvSpPr>
        <xdr:spPr>
          <a:xfrm>
            <a:off x="18905" y="3972"/>
            <a:ext cx="779" cy="3443"/>
          </a:xfrm>
          <a:custGeom>
            <a:avLst/>
            <a:gdLst/>
            <a:ahLst/>
            <a:cxnLst/>
            <a:rect l="l" t="t" r="r" b="b"/>
            <a:pathLst>
              <a:path w="77889" h="344246">
                <a:moveTo>
                  <a:pt x="0" y="0"/>
                </a:moveTo>
                <a:lnTo>
                  <a:pt x="77889" y="0"/>
                </a:lnTo>
                <a:lnTo>
                  <a:pt x="77889" y="344246"/>
                </a:lnTo>
                <a:lnTo>
                  <a:pt x="0" y="344246"/>
                </a:lnTo>
                <a:lnTo>
                  <a:pt x="0" y="0"/>
                </a:lnTo>
              </a:path>
            </a:pathLst>
          </a:custGeom>
          <a:solidFill>
            <a:srgbClr val="422874"/>
          </a:solidFill>
          <a:ln>
            <a:noFill/>
          </a:ln>
        </xdr:spPr>
        <xdr:txBody>
          <a:bodyPr wrap="square">
            <a:prstTxWarp prst="textNoShape">
              <a:avLst/>
            </a:prstTxWarp>
          </a:bodyPr>
          <a:lstStyle/>
          <a:p>
            <a:endParaRPr lang="en-US" sz="1100"/>
          </a:p>
        </xdr:txBody>
      </xdr:sp>
      <xdr:sp macro="" textlink="">
        <xdr:nvSpPr>
          <xdr:cNvPr id="24" name="Freeform 24">
            <a:extLst>
              <a:ext uri="{FF2B5EF4-FFF2-40B4-BE49-F238E27FC236}">
                <a16:creationId xmlns:a16="http://schemas.microsoft.com/office/drawing/2014/main" id="{68FBB773-0C12-4F58-A2FD-C4C74982A5A4}"/>
              </a:ext>
            </a:extLst>
          </xdr:cNvPr>
          <xdr:cNvSpPr/>
        </xdr:nvSpPr>
        <xdr:spPr>
          <a:xfrm>
            <a:off x="20032" y="4929"/>
            <a:ext cx="1235" cy="2529"/>
          </a:xfrm>
          <a:custGeom>
            <a:avLst/>
            <a:gdLst/>
            <a:ahLst/>
            <a:cxnLst/>
            <a:rect l="l" t="t" r="r" b="b"/>
            <a:pathLst>
              <a:path w="123450" h="252895">
                <a:moveTo>
                  <a:pt x="123088" y="0"/>
                </a:moveTo>
                <a:lnTo>
                  <a:pt x="123450" y="72"/>
                </a:lnTo>
                <a:lnTo>
                  <a:pt x="123450" y="76277"/>
                </a:lnTo>
                <a:lnTo>
                  <a:pt x="123088" y="76200"/>
                </a:lnTo>
                <a:cubicBezTo>
                  <a:pt x="110909" y="76200"/>
                  <a:pt x="100495" y="81064"/>
                  <a:pt x="91834" y="90754"/>
                </a:cubicBezTo>
                <a:cubicBezTo>
                  <a:pt x="83185" y="100444"/>
                  <a:pt x="78854" y="112192"/>
                  <a:pt x="78854" y="125971"/>
                </a:cubicBezTo>
                <a:cubicBezTo>
                  <a:pt x="78854" y="139751"/>
                  <a:pt x="83185" y="151499"/>
                  <a:pt x="91834" y="161189"/>
                </a:cubicBezTo>
                <a:cubicBezTo>
                  <a:pt x="100495" y="170891"/>
                  <a:pt x="110909" y="175743"/>
                  <a:pt x="123088" y="175743"/>
                </a:cubicBezTo>
                <a:lnTo>
                  <a:pt x="123450" y="175666"/>
                </a:lnTo>
                <a:lnTo>
                  <a:pt x="123450" y="252823"/>
                </a:lnTo>
                <a:lnTo>
                  <a:pt x="123088" y="252895"/>
                </a:lnTo>
                <a:cubicBezTo>
                  <a:pt x="106743" y="252895"/>
                  <a:pt x="91161" y="249733"/>
                  <a:pt x="76340" y="243408"/>
                </a:cubicBezTo>
                <a:cubicBezTo>
                  <a:pt x="61506" y="237071"/>
                  <a:pt x="48247" y="227978"/>
                  <a:pt x="36551" y="216129"/>
                </a:cubicBezTo>
                <a:cubicBezTo>
                  <a:pt x="24524" y="203619"/>
                  <a:pt x="15430" y="189802"/>
                  <a:pt x="9258" y="174651"/>
                </a:cubicBezTo>
                <a:cubicBezTo>
                  <a:pt x="3099" y="159500"/>
                  <a:pt x="0" y="143434"/>
                  <a:pt x="0" y="126454"/>
                </a:cubicBezTo>
                <a:cubicBezTo>
                  <a:pt x="0" y="109462"/>
                  <a:pt x="3099" y="93396"/>
                  <a:pt x="9258" y="78257"/>
                </a:cubicBezTo>
                <a:cubicBezTo>
                  <a:pt x="15430" y="63106"/>
                  <a:pt x="24524" y="49288"/>
                  <a:pt x="36551" y="36779"/>
                </a:cubicBezTo>
                <a:cubicBezTo>
                  <a:pt x="48247" y="24930"/>
                  <a:pt x="61506" y="15825"/>
                  <a:pt x="76340" y="9499"/>
                </a:cubicBezTo>
                <a:cubicBezTo>
                  <a:pt x="91161" y="3163"/>
                  <a:pt x="106743" y="0"/>
                  <a:pt x="123088" y="0"/>
                </a:cubicBez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5" name="Freeform 25">
            <a:extLst>
              <a:ext uri="{FF2B5EF4-FFF2-40B4-BE49-F238E27FC236}">
                <a16:creationId xmlns:a16="http://schemas.microsoft.com/office/drawing/2014/main" id="{E0FA1415-FC96-452D-900F-072C9F714874}"/>
              </a:ext>
            </a:extLst>
          </xdr:cNvPr>
          <xdr:cNvSpPr/>
        </xdr:nvSpPr>
        <xdr:spPr>
          <a:xfrm>
            <a:off x="21267" y="4930"/>
            <a:ext cx="1227" cy="2527"/>
          </a:xfrm>
          <a:custGeom>
            <a:avLst/>
            <a:gdLst/>
            <a:ahLst/>
            <a:cxnLst/>
            <a:rect l="l" t="t" r="r" b="b"/>
            <a:pathLst>
              <a:path w="122726" h="252751">
                <a:moveTo>
                  <a:pt x="0" y="0"/>
                </a:moveTo>
                <a:lnTo>
                  <a:pt x="47110" y="9427"/>
                </a:lnTo>
                <a:cubicBezTo>
                  <a:pt x="62097" y="15752"/>
                  <a:pt x="75368" y="24858"/>
                  <a:pt x="86900" y="36707"/>
                </a:cubicBezTo>
                <a:cubicBezTo>
                  <a:pt x="98596" y="48721"/>
                  <a:pt x="107499" y="62399"/>
                  <a:pt x="113582" y="77703"/>
                </a:cubicBezTo>
                <a:cubicBezTo>
                  <a:pt x="119678" y="93006"/>
                  <a:pt x="122726" y="109236"/>
                  <a:pt x="122726" y="126382"/>
                </a:cubicBezTo>
                <a:cubicBezTo>
                  <a:pt x="122726" y="143527"/>
                  <a:pt x="119678" y="159757"/>
                  <a:pt x="113582" y="175060"/>
                </a:cubicBezTo>
                <a:cubicBezTo>
                  <a:pt x="107499" y="190377"/>
                  <a:pt x="98596" y="204029"/>
                  <a:pt x="86900" y="216056"/>
                </a:cubicBezTo>
                <a:cubicBezTo>
                  <a:pt x="75368" y="227905"/>
                  <a:pt x="62097" y="236998"/>
                  <a:pt x="47110" y="243336"/>
                </a:cubicBezTo>
                <a:lnTo>
                  <a:pt x="0" y="252751"/>
                </a:lnTo>
                <a:lnTo>
                  <a:pt x="0" y="175594"/>
                </a:lnTo>
                <a:lnTo>
                  <a:pt x="16826" y="172032"/>
                </a:lnTo>
                <a:cubicBezTo>
                  <a:pt x="22117" y="169606"/>
                  <a:pt x="26968" y="165967"/>
                  <a:pt x="31375" y="161116"/>
                </a:cubicBezTo>
                <a:cubicBezTo>
                  <a:pt x="40189" y="151426"/>
                  <a:pt x="44596" y="139679"/>
                  <a:pt x="44596" y="125899"/>
                </a:cubicBezTo>
                <a:cubicBezTo>
                  <a:pt x="44596" y="112119"/>
                  <a:pt x="40189" y="100372"/>
                  <a:pt x="31375" y="90682"/>
                </a:cubicBezTo>
                <a:cubicBezTo>
                  <a:pt x="26968" y="85837"/>
                  <a:pt x="22117" y="82198"/>
                  <a:pt x="16826" y="79771"/>
                </a:cubicBezTo>
                <a:lnTo>
                  <a:pt x="0" y="76204"/>
                </a:lnTo>
                <a:lnTo>
                  <a:pt x="0" y="0"/>
                </a:lnTo>
                <a:close/>
              </a:path>
            </a:pathLst>
          </a:custGeom>
          <a:solidFill>
            <a:srgbClr val="422874"/>
          </a:solidFill>
          <a:ln>
            <a:noFill/>
          </a:ln>
        </xdr:spPr>
        <xdr:txBody>
          <a:bodyPr wrap="square">
            <a:prstTxWarp prst="textNoShape">
              <a:avLst/>
            </a:prstTxWarp>
          </a:bodyPr>
          <a:lstStyle/>
          <a:p>
            <a:endParaRPr lang="en-US" sz="1100"/>
          </a:p>
        </xdr:txBody>
      </xdr:sp>
      <xdr:sp macro="" textlink="">
        <xdr:nvSpPr>
          <xdr:cNvPr id="26" name="Freeform 26">
            <a:extLst>
              <a:ext uri="{FF2B5EF4-FFF2-40B4-BE49-F238E27FC236}">
                <a16:creationId xmlns:a16="http://schemas.microsoft.com/office/drawing/2014/main" id="{E9400FCE-C759-40A1-AE71-9B1F75D61577}"/>
              </a:ext>
            </a:extLst>
          </xdr:cNvPr>
          <xdr:cNvSpPr/>
        </xdr:nvSpPr>
        <xdr:spPr>
          <a:xfrm>
            <a:off x="4650" y="13285"/>
            <a:ext cx="943" cy="1082"/>
          </a:xfrm>
          <a:custGeom>
            <a:avLst/>
            <a:gdLst/>
            <a:ahLst/>
            <a:cxnLst/>
            <a:rect l="l" t="t" r="r" b="b"/>
            <a:pathLst>
              <a:path w="94297" h="108165">
                <a:moveTo>
                  <a:pt x="4864" y="0"/>
                </a:moveTo>
                <a:lnTo>
                  <a:pt x="44844" y="0"/>
                </a:lnTo>
                <a:lnTo>
                  <a:pt x="43891" y="2946"/>
                </a:lnTo>
                <a:cubicBezTo>
                  <a:pt x="38887" y="3315"/>
                  <a:pt x="36043" y="3632"/>
                  <a:pt x="35344" y="3911"/>
                </a:cubicBezTo>
                <a:cubicBezTo>
                  <a:pt x="34176" y="4280"/>
                  <a:pt x="33210" y="5016"/>
                  <a:pt x="32474" y="6146"/>
                </a:cubicBezTo>
                <a:cubicBezTo>
                  <a:pt x="31725" y="7251"/>
                  <a:pt x="31356" y="8559"/>
                  <a:pt x="31356" y="10045"/>
                </a:cubicBezTo>
                <a:cubicBezTo>
                  <a:pt x="31356" y="12217"/>
                  <a:pt x="32131" y="15951"/>
                  <a:pt x="33680" y="21209"/>
                </a:cubicBezTo>
                <a:lnTo>
                  <a:pt x="42443" y="50647"/>
                </a:lnTo>
                <a:lnTo>
                  <a:pt x="63030" y="21844"/>
                </a:lnTo>
                <a:cubicBezTo>
                  <a:pt x="68339" y="14351"/>
                  <a:pt x="71006" y="9563"/>
                  <a:pt x="71006" y="7493"/>
                </a:cubicBezTo>
                <a:cubicBezTo>
                  <a:pt x="71006" y="6324"/>
                  <a:pt x="70434" y="5346"/>
                  <a:pt x="69291" y="4584"/>
                </a:cubicBezTo>
                <a:cubicBezTo>
                  <a:pt x="68148" y="3810"/>
                  <a:pt x="64884" y="3263"/>
                  <a:pt x="59525" y="2946"/>
                </a:cubicBezTo>
                <a:lnTo>
                  <a:pt x="60312" y="0"/>
                </a:lnTo>
                <a:lnTo>
                  <a:pt x="94297" y="0"/>
                </a:lnTo>
                <a:lnTo>
                  <a:pt x="93663" y="2946"/>
                </a:lnTo>
                <a:cubicBezTo>
                  <a:pt x="90360" y="3365"/>
                  <a:pt x="88100" y="3822"/>
                  <a:pt x="86881" y="4292"/>
                </a:cubicBezTo>
                <a:cubicBezTo>
                  <a:pt x="84963" y="5105"/>
                  <a:pt x="83083" y="6350"/>
                  <a:pt x="81217" y="8051"/>
                </a:cubicBezTo>
                <a:cubicBezTo>
                  <a:pt x="78715" y="10287"/>
                  <a:pt x="75108" y="14668"/>
                  <a:pt x="70371" y="21209"/>
                </a:cubicBezTo>
                <a:lnTo>
                  <a:pt x="43891" y="57747"/>
                </a:lnTo>
                <a:lnTo>
                  <a:pt x="35903" y="84468"/>
                </a:lnTo>
                <a:cubicBezTo>
                  <a:pt x="33934" y="91173"/>
                  <a:pt x="32956" y="95796"/>
                  <a:pt x="32956" y="98348"/>
                </a:cubicBezTo>
                <a:cubicBezTo>
                  <a:pt x="32956" y="99999"/>
                  <a:pt x="33261" y="101257"/>
                  <a:pt x="33871" y="102108"/>
                </a:cubicBezTo>
                <a:cubicBezTo>
                  <a:pt x="34481" y="102959"/>
                  <a:pt x="35560" y="103644"/>
                  <a:pt x="37097" y="104178"/>
                </a:cubicBezTo>
                <a:cubicBezTo>
                  <a:pt x="39116" y="104825"/>
                  <a:pt x="42215" y="105169"/>
                  <a:pt x="46355" y="105207"/>
                </a:cubicBezTo>
                <a:lnTo>
                  <a:pt x="45555" y="108165"/>
                </a:lnTo>
                <a:lnTo>
                  <a:pt x="0" y="108165"/>
                </a:lnTo>
                <a:lnTo>
                  <a:pt x="965" y="105207"/>
                </a:lnTo>
                <a:cubicBezTo>
                  <a:pt x="5486" y="105105"/>
                  <a:pt x="8484" y="104736"/>
                  <a:pt x="9982" y="104101"/>
                </a:cubicBezTo>
                <a:cubicBezTo>
                  <a:pt x="12370" y="103136"/>
                  <a:pt x="14148" y="101867"/>
                  <a:pt x="15316" y="100266"/>
                </a:cubicBezTo>
                <a:cubicBezTo>
                  <a:pt x="17132" y="97828"/>
                  <a:pt x="18986" y="93446"/>
                  <a:pt x="20904" y="87109"/>
                </a:cubicBezTo>
                <a:lnTo>
                  <a:pt x="30404" y="55511"/>
                </a:lnTo>
                <a:lnTo>
                  <a:pt x="18834" y="18186"/>
                </a:lnTo>
                <a:cubicBezTo>
                  <a:pt x="16764" y="11582"/>
                  <a:pt x="14859" y="7493"/>
                  <a:pt x="13132" y="5893"/>
                </a:cubicBezTo>
                <a:cubicBezTo>
                  <a:pt x="11392" y="4292"/>
                  <a:pt x="8382" y="3315"/>
                  <a:pt x="4077" y="2946"/>
                </a:cubicBezTo>
                <a:lnTo>
                  <a:pt x="4864"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27" name="Freeform 27">
            <a:extLst>
              <a:ext uri="{FF2B5EF4-FFF2-40B4-BE49-F238E27FC236}">
                <a16:creationId xmlns:a16="http://schemas.microsoft.com/office/drawing/2014/main" id="{46B1DBF8-2F78-4793-832B-5A00BF3E8786}"/>
              </a:ext>
            </a:extLst>
          </xdr:cNvPr>
          <xdr:cNvSpPr/>
        </xdr:nvSpPr>
        <xdr:spPr>
          <a:xfrm>
            <a:off x="5310" y="13680"/>
            <a:ext cx="353" cy="706"/>
          </a:xfrm>
          <a:custGeom>
            <a:avLst/>
            <a:gdLst/>
            <a:ahLst/>
            <a:cxnLst/>
            <a:rect l="l" t="t" r="r" b="b"/>
            <a:pathLst>
              <a:path w="35300" h="70553">
                <a:moveTo>
                  <a:pt x="35300" y="0"/>
                </a:moveTo>
                <a:lnTo>
                  <a:pt x="35300" y="4026"/>
                </a:lnTo>
                <a:lnTo>
                  <a:pt x="33257" y="4788"/>
                </a:lnTo>
                <a:cubicBezTo>
                  <a:pt x="29658" y="7587"/>
                  <a:pt x="26213" y="11785"/>
                  <a:pt x="22924" y="17379"/>
                </a:cubicBezTo>
                <a:cubicBezTo>
                  <a:pt x="16370" y="28580"/>
                  <a:pt x="13081" y="39706"/>
                  <a:pt x="13081" y="50767"/>
                </a:cubicBezTo>
                <a:cubicBezTo>
                  <a:pt x="13081" y="55822"/>
                  <a:pt x="14364" y="59721"/>
                  <a:pt x="16916" y="62464"/>
                </a:cubicBezTo>
                <a:cubicBezTo>
                  <a:pt x="19469" y="65207"/>
                  <a:pt x="22682" y="66566"/>
                  <a:pt x="26568" y="66566"/>
                </a:cubicBezTo>
                <a:lnTo>
                  <a:pt x="35300" y="63220"/>
                </a:lnTo>
                <a:lnTo>
                  <a:pt x="35300" y="67263"/>
                </a:lnTo>
                <a:lnTo>
                  <a:pt x="24740" y="70553"/>
                </a:lnTo>
                <a:cubicBezTo>
                  <a:pt x="17437" y="70553"/>
                  <a:pt x="11493" y="68230"/>
                  <a:pt x="6896" y="63582"/>
                </a:cubicBezTo>
                <a:cubicBezTo>
                  <a:pt x="2311" y="58921"/>
                  <a:pt x="0" y="52888"/>
                  <a:pt x="0" y="45509"/>
                </a:cubicBezTo>
                <a:cubicBezTo>
                  <a:pt x="0" y="37686"/>
                  <a:pt x="2248" y="29837"/>
                  <a:pt x="6731" y="21977"/>
                </a:cubicBezTo>
                <a:cubicBezTo>
                  <a:pt x="11227" y="14102"/>
                  <a:pt x="17247" y="7879"/>
                  <a:pt x="24778" y="3307"/>
                </a:cubicBezTo>
                <a:lnTo>
                  <a:pt x="35300"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28" name="Freeform 28">
            <a:extLst>
              <a:ext uri="{FF2B5EF4-FFF2-40B4-BE49-F238E27FC236}">
                <a16:creationId xmlns:a16="http://schemas.microsoft.com/office/drawing/2014/main" id="{F870E552-E560-4D57-9C24-544512079709}"/>
              </a:ext>
            </a:extLst>
          </xdr:cNvPr>
          <xdr:cNvSpPr/>
        </xdr:nvSpPr>
        <xdr:spPr>
          <a:xfrm>
            <a:off x="5663" y="13645"/>
            <a:ext cx="354" cy="708"/>
          </a:xfrm>
          <a:custGeom>
            <a:avLst/>
            <a:gdLst/>
            <a:ahLst/>
            <a:cxnLst/>
            <a:rect l="l" t="t" r="r" b="b"/>
            <a:pathLst>
              <a:path w="35452" h="70814">
                <a:moveTo>
                  <a:pt x="11297" y="0"/>
                </a:moveTo>
                <a:cubicBezTo>
                  <a:pt x="18307" y="0"/>
                  <a:pt x="24098" y="2311"/>
                  <a:pt x="28632" y="6934"/>
                </a:cubicBezTo>
                <a:cubicBezTo>
                  <a:pt x="33179" y="11557"/>
                  <a:pt x="35452" y="17576"/>
                  <a:pt x="35452" y="24968"/>
                </a:cubicBezTo>
                <a:cubicBezTo>
                  <a:pt x="35452" y="32944"/>
                  <a:pt x="33344" y="40843"/>
                  <a:pt x="29115" y="48654"/>
                </a:cubicBezTo>
                <a:cubicBezTo>
                  <a:pt x="24886" y="56476"/>
                  <a:pt x="18993" y="62674"/>
                  <a:pt x="11449" y="67246"/>
                </a:cubicBezTo>
                <a:lnTo>
                  <a:pt x="0" y="70814"/>
                </a:lnTo>
                <a:lnTo>
                  <a:pt x="0" y="66771"/>
                </a:lnTo>
                <a:lnTo>
                  <a:pt x="2164" y="65942"/>
                </a:lnTo>
                <a:cubicBezTo>
                  <a:pt x="5680" y="63157"/>
                  <a:pt x="9081" y="58979"/>
                  <a:pt x="12363" y="53403"/>
                </a:cubicBezTo>
                <a:cubicBezTo>
                  <a:pt x="18942" y="42266"/>
                  <a:pt x="22219" y="30950"/>
                  <a:pt x="22219" y="19456"/>
                </a:cubicBezTo>
                <a:cubicBezTo>
                  <a:pt x="22219" y="14503"/>
                  <a:pt x="21012" y="10731"/>
                  <a:pt x="18586" y="8089"/>
                </a:cubicBezTo>
                <a:cubicBezTo>
                  <a:pt x="16173" y="5461"/>
                  <a:pt x="13049" y="4140"/>
                  <a:pt x="9214" y="4140"/>
                </a:cubicBezTo>
                <a:lnTo>
                  <a:pt x="0" y="7577"/>
                </a:lnTo>
                <a:lnTo>
                  <a:pt x="0" y="3551"/>
                </a:lnTo>
                <a:lnTo>
                  <a:pt x="11297"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29" name="Freeform 29">
            <a:extLst>
              <a:ext uri="{FF2B5EF4-FFF2-40B4-BE49-F238E27FC236}">
                <a16:creationId xmlns:a16="http://schemas.microsoft.com/office/drawing/2014/main" id="{D1767563-5230-4958-B4A2-A30E4C5EBB73}"/>
              </a:ext>
            </a:extLst>
          </xdr:cNvPr>
          <xdr:cNvSpPr/>
        </xdr:nvSpPr>
        <xdr:spPr>
          <a:xfrm>
            <a:off x="6127" y="13645"/>
            <a:ext cx="721" cy="741"/>
          </a:xfrm>
          <a:custGeom>
            <a:avLst/>
            <a:gdLst/>
            <a:ahLst/>
            <a:cxnLst/>
            <a:rect l="l" t="t" r="r" b="b"/>
            <a:pathLst>
              <a:path w="72123" h="74117">
                <a:moveTo>
                  <a:pt x="22111" y="0"/>
                </a:moveTo>
                <a:cubicBezTo>
                  <a:pt x="24067" y="0"/>
                  <a:pt x="25679" y="622"/>
                  <a:pt x="26924" y="1880"/>
                </a:cubicBezTo>
                <a:cubicBezTo>
                  <a:pt x="28181" y="3124"/>
                  <a:pt x="28804" y="4737"/>
                  <a:pt x="28804" y="6706"/>
                </a:cubicBezTo>
                <a:cubicBezTo>
                  <a:pt x="28804" y="9563"/>
                  <a:pt x="27737" y="14707"/>
                  <a:pt x="25616" y="22098"/>
                </a:cubicBezTo>
                <a:lnTo>
                  <a:pt x="18110" y="47866"/>
                </a:lnTo>
                <a:cubicBezTo>
                  <a:pt x="16040" y="54890"/>
                  <a:pt x="14999" y="59334"/>
                  <a:pt x="14999" y="61189"/>
                </a:cubicBezTo>
                <a:cubicBezTo>
                  <a:pt x="14999" y="62205"/>
                  <a:pt x="15329" y="63005"/>
                  <a:pt x="16002" y="63627"/>
                </a:cubicBezTo>
                <a:cubicBezTo>
                  <a:pt x="16662" y="64236"/>
                  <a:pt x="17564" y="64542"/>
                  <a:pt x="18669" y="64542"/>
                </a:cubicBezTo>
                <a:cubicBezTo>
                  <a:pt x="20422" y="64542"/>
                  <a:pt x="22720" y="63665"/>
                  <a:pt x="25527" y="61913"/>
                </a:cubicBezTo>
                <a:cubicBezTo>
                  <a:pt x="28346" y="60160"/>
                  <a:pt x="32118" y="56261"/>
                  <a:pt x="36817" y="50216"/>
                </a:cubicBezTo>
                <a:cubicBezTo>
                  <a:pt x="41529" y="44183"/>
                  <a:pt x="45415" y="38519"/>
                  <a:pt x="48463" y="33236"/>
                </a:cubicBezTo>
                <a:cubicBezTo>
                  <a:pt x="51524" y="27940"/>
                  <a:pt x="54788" y="19520"/>
                  <a:pt x="58242" y="7975"/>
                </a:cubicBezTo>
                <a:lnTo>
                  <a:pt x="59995" y="1918"/>
                </a:lnTo>
                <a:lnTo>
                  <a:pt x="72123" y="1918"/>
                </a:lnTo>
                <a:lnTo>
                  <a:pt x="58242" y="49467"/>
                </a:lnTo>
                <a:cubicBezTo>
                  <a:pt x="56159" y="56541"/>
                  <a:pt x="55131" y="61011"/>
                  <a:pt x="55131" y="62865"/>
                </a:cubicBezTo>
                <a:cubicBezTo>
                  <a:pt x="55131" y="63818"/>
                  <a:pt x="55308" y="64529"/>
                  <a:pt x="55651" y="64974"/>
                </a:cubicBezTo>
                <a:cubicBezTo>
                  <a:pt x="56007" y="65430"/>
                  <a:pt x="56451" y="65659"/>
                  <a:pt x="57036" y="65659"/>
                </a:cubicBezTo>
                <a:cubicBezTo>
                  <a:pt x="57950" y="65659"/>
                  <a:pt x="58941" y="65253"/>
                  <a:pt x="60033" y="64427"/>
                </a:cubicBezTo>
                <a:cubicBezTo>
                  <a:pt x="61125" y="63602"/>
                  <a:pt x="63881" y="60313"/>
                  <a:pt x="68288" y="54572"/>
                </a:cubicBezTo>
                <a:lnTo>
                  <a:pt x="70688" y="56400"/>
                </a:lnTo>
                <a:cubicBezTo>
                  <a:pt x="66485" y="63043"/>
                  <a:pt x="62179" y="67945"/>
                  <a:pt x="57760" y="71082"/>
                </a:cubicBezTo>
                <a:cubicBezTo>
                  <a:pt x="54839" y="73101"/>
                  <a:pt x="52019" y="74117"/>
                  <a:pt x="49301" y="74117"/>
                </a:cubicBezTo>
                <a:cubicBezTo>
                  <a:pt x="47231" y="74117"/>
                  <a:pt x="45606" y="73520"/>
                  <a:pt x="44437" y="72365"/>
                </a:cubicBezTo>
                <a:cubicBezTo>
                  <a:pt x="43269" y="71183"/>
                  <a:pt x="42685" y="69672"/>
                  <a:pt x="42685" y="67818"/>
                </a:cubicBezTo>
                <a:cubicBezTo>
                  <a:pt x="42685" y="66002"/>
                  <a:pt x="43028" y="63614"/>
                  <a:pt x="43726" y="60630"/>
                </a:cubicBezTo>
                <a:cubicBezTo>
                  <a:pt x="44577" y="56706"/>
                  <a:pt x="46990" y="48133"/>
                  <a:pt x="50978" y="34937"/>
                </a:cubicBezTo>
                <a:cubicBezTo>
                  <a:pt x="41948" y="49784"/>
                  <a:pt x="34379" y="60020"/>
                  <a:pt x="28296" y="65659"/>
                </a:cubicBezTo>
                <a:cubicBezTo>
                  <a:pt x="22200" y="71298"/>
                  <a:pt x="16548" y="74117"/>
                  <a:pt x="11341" y="74117"/>
                </a:cubicBezTo>
                <a:cubicBezTo>
                  <a:pt x="8890" y="74117"/>
                  <a:pt x="6820" y="73254"/>
                  <a:pt x="5105" y="71551"/>
                </a:cubicBezTo>
                <a:cubicBezTo>
                  <a:pt x="3404" y="69850"/>
                  <a:pt x="2565" y="67704"/>
                  <a:pt x="2565" y="65100"/>
                </a:cubicBezTo>
                <a:cubicBezTo>
                  <a:pt x="2565" y="61113"/>
                  <a:pt x="3734" y="54991"/>
                  <a:pt x="6071" y="46749"/>
                </a:cubicBezTo>
                <a:lnTo>
                  <a:pt x="13018" y="22098"/>
                </a:lnTo>
                <a:cubicBezTo>
                  <a:pt x="14707" y="16193"/>
                  <a:pt x="15570" y="12522"/>
                  <a:pt x="15570" y="11087"/>
                </a:cubicBezTo>
                <a:cubicBezTo>
                  <a:pt x="15570" y="10452"/>
                  <a:pt x="15329" y="9906"/>
                  <a:pt x="14884" y="9461"/>
                </a:cubicBezTo>
                <a:cubicBezTo>
                  <a:pt x="14427" y="8992"/>
                  <a:pt x="13945" y="8775"/>
                  <a:pt x="13399" y="8775"/>
                </a:cubicBezTo>
                <a:cubicBezTo>
                  <a:pt x="12294" y="8775"/>
                  <a:pt x="11176" y="9182"/>
                  <a:pt x="10058" y="9969"/>
                </a:cubicBezTo>
                <a:cubicBezTo>
                  <a:pt x="8941" y="10770"/>
                  <a:pt x="6414" y="13729"/>
                  <a:pt x="2476" y="18834"/>
                </a:cubicBezTo>
                <a:lnTo>
                  <a:pt x="0" y="17069"/>
                </a:lnTo>
                <a:cubicBezTo>
                  <a:pt x="3988" y="10909"/>
                  <a:pt x="8217" y="6362"/>
                  <a:pt x="12687" y="3429"/>
                </a:cubicBezTo>
                <a:cubicBezTo>
                  <a:pt x="16091" y="1143"/>
                  <a:pt x="19228" y="0"/>
                  <a:pt x="22111"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0" name="Freeform 30">
            <a:extLst>
              <a:ext uri="{FF2B5EF4-FFF2-40B4-BE49-F238E27FC236}">
                <a16:creationId xmlns:a16="http://schemas.microsoft.com/office/drawing/2014/main" id="{E67129B1-5B08-4BAC-BD91-0B29886A7734}"/>
              </a:ext>
            </a:extLst>
          </xdr:cNvPr>
          <xdr:cNvSpPr/>
        </xdr:nvSpPr>
        <xdr:spPr>
          <a:xfrm>
            <a:off x="6929" y="13645"/>
            <a:ext cx="628" cy="722"/>
          </a:xfrm>
          <a:custGeom>
            <a:avLst/>
            <a:gdLst/>
            <a:ahLst/>
            <a:cxnLst/>
            <a:rect l="l" t="t" r="r" b="b"/>
            <a:pathLst>
              <a:path w="62789" h="72187">
                <a:moveTo>
                  <a:pt x="32703" y="0"/>
                </a:moveTo>
                <a:lnTo>
                  <a:pt x="21222" y="38760"/>
                </a:lnTo>
                <a:cubicBezTo>
                  <a:pt x="30531" y="22860"/>
                  <a:pt x="38976" y="11747"/>
                  <a:pt x="46596" y="5423"/>
                </a:cubicBezTo>
                <a:cubicBezTo>
                  <a:pt x="50902" y="1804"/>
                  <a:pt x="54407" y="0"/>
                  <a:pt x="57125" y="0"/>
                </a:cubicBezTo>
                <a:cubicBezTo>
                  <a:pt x="58865" y="0"/>
                  <a:pt x="60262" y="508"/>
                  <a:pt x="61265" y="1550"/>
                </a:cubicBezTo>
                <a:cubicBezTo>
                  <a:pt x="62281" y="2591"/>
                  <a:pt x="62789" y="4090"/>
                  <a:pt x="62789" y="6058"/>
                </a:cubicBezTo>
                <a:cubicBezTo>
                  <a:pt x="62789" y="9563"/>
                  <a:pt x="61874" y="12916"/>
                  <a:pt x="60071" y="16104"/>
                </a:cubicBezTo>
                <a:cubicBezTo>
                  <a:pt x="58788" y="18504"/>
                  <a:pt x="56960" y="19698"/>
                  <a:pt x="54559" y="19698"/>
                </a:cubicBezTo>
                <a:cubicBezTo>
                  <a:pt x="53340" y="19698"/>
                  <a:pt x="52286" y="19304"/>
                  <a:pt x="51410" y="18504"/>
                </a:cubicBezTo>
                <a:cubicBezTo>
                  <a:pt x="50533" y="17691"/>
                  <a:pt x="49987" y="16472"/>
                  <a:pt x="49784" y="14834"/>
                </a:cubicBezTo>
                <a:cubicBezTo>
                  <a:pt x="49670" y="13818"/>
                  <a:pt x="49428" y="13157"/>
                  <a:pt x="49060" y="12840"/>
                </a:cubicBezTo>
                <a:cubicBezTo>
                  <a:pt x="48641" y="12408"/>
                  <a:pt x="48133" y="12192"/>
                  <a:pt x="47549" y="12192"/>
                </a:cubicBezTo>
                <a:cubicBezTo>
                  <a:pt x="46647" y="12192"/>
                  <a:pt x="45783" y="12408"/>
                  <a:pt x="44996" y="12840"/>
                </a:cubicBezTo>
                <a:cubicBezTo>
                  <a:pt x="43612" y="13589"/>
                  <a:pt x="41504" y="15660"/>
                  <a:pt x="38697" y="19050"/>
                </a:cubicBezTo>
                <a:cubicBezTo>
                  <a:pt x="34277" y="24270"/>
                  <a:pt x="29489" y="31026"/>
                  <a:pt x="24333" y="39319"/>
                </a:cubicBezTo>
                <a:cubicBezTo>
                  <a:pt x="22098" y="42825"/>
                  <a:pt x="20180" y="46787"/>
                  <a:pt x="18593" y="51207"/>
                </a:cubicBezTo>
                <a:cubicBezTo>
                  <a:pt x="16358" y="57277"/>
                  <a:pt x="15088" y="60922"/>
                  <a:pt x="14757" y="62141"/>
                </a:cubicBezTo>
                <a:lnTo>
                  <a:pt x="12205" y="72187"/>
                </a:lnTo>
                <a:lnTo>
                  <a:pt x="0" y="72187"/>
                </a:lnTo>
                <a:lnTo>
                  <a:pt x="14757" y="22644"/>
                </a:lnTo>
                <a:cubicBezTo>
                  <a:pt x="16459" y="16904"/>
                  <a:pt x="17310" y="12802"/>
                  <a:pt x="17310" y="10364"/>
                </a:cubicBezTo>
                <a:cubicBezTo>
                  <a:pt x="17310" y="9411"/>
                  <a:pt x="16916" y="8611"/>
                  <a:pt x="16116" y="7963"/>
                </a:cubicBezTo>
                <a:cubicBezTo>
                  <a:pt x="15050" y="7125"/>
                  <a:pt x="13640" y="6693"/>
                  <a:pt x="11887" y="6693"/>
                </a:cubicBezTo>
                <a:cubicBezTo>
                  <a:pt x="10770" y="6693"/>
                  <a:pt x="8725" y="6921"/>
                  <a:pt x="5740" y="7417"/>
                </a:cubicBezTo>
                <a:lnTo>
                  <a:pt x="5182" y="4458"/>
                </a:lnTo>
                <a:lnTo>
                  <a:pt x="3270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1" name="Freeform 31">
            <a:extLst>
              <a:ext uri="{FF2B5EF4-FFF2-40B4-BE49-F238E27FC236}">
                <a16:creationId xmlns:a16="http://schemas.microsoft.com/office/drawing/2014/main" id="{FE35E60F-B876-4D8C-B28A-D07892B6C382}"/>
              </a:ext>
            </a:extLst>
          </xdr:cNvPr>
          <xdr:cNvSpPr/>
        </xdr:nvSpPr>
        <xdr:spPr>
          <a:xfrm>
            <a:off x="7973" y="13232"/>
            <a:ext cx="717" cy="1154"/>
          </a:xfrm>
          <a:custGeom>
            <a:avLst/>
            <a:gdLst/>
            <a:ahLst/>
            <a:cxnLst/>
            <a:rect l="l" t="t" r="r" b="b"/>
            <a:pathLst>
              <a:path w="71717" h="115354">
                <a:moveTo>
                  <a:pt x="44666" y="0"/>
                </a:moveTo>
                <a:lnTo>
                  <a:pt x="22250" y="77457"/>
                </a:lnTo>
                <a:cubicBezTo>
                  <a:pt x="31928" y="62891"/>
                  <a:pt x="39484" y="53213"/>
                  <a:pt x="44907" y="48425"/>
                </a:cubicBezTo>
                <a:cubicBezTo>
                  <a:pt x="50343" y="43624"/>
                  <a:pt x="55524" y="41237"/>
                  <a:pt x="60465" y="41237"/>
                </a:cubicBezTo>
                <a:cubicBezTo>
                  <a:pt x="63017" y="41237"/>
                  <a:pt x="65138" y="42126"/>
                  <a:pt x="66840" y="43879"/>
                </a:cubicBezTo>
                <a:cubicBezTo>
                  <a:pt x="68542" y="45631"/>
                  <a:pt x="69405" y="47981"/>
                  <a:pt x="69405" y="50902"/>
                </a:cubicBezTo>
                <a:cubicBezTo>
                  <a:pt x="69405" y="54407"/>
                  <a:pt x="68656" y="58662"/>
                  <a:pt x="67170" y="63665"/>
                </a:cubicBezTo>
                <a:lnTo>
                  <a:pt x="57429" y="97079"/>
                </a:lnTo>
                <a:cubicBezTo>
                  <a:pt x="56210" y="101130"/>
                  <a:pt x="55588" y="103365"/>
                  <a:pt x="55588" y="103784"/>
                </a:cubicBezTo>
                <a:cubicBezTo>
                  <a:pt x="55588" y="104534"/>
                  <a:pt x="55829" y="105143"/>
                  <a:pt x="56274" y="105626"/>
                </a:cubicBezTo>
                <a:cubicBezTo>
                  <a:pt x="56718" y="106096"/>
                  <a:pt x="57239" y="106337"/>
                  <a:pt x="57836" y="106337"/>
                </a:cubicBezTo>
                <a:cubicBezTo>
                  <a:pt x="58522" y="106337"/>
                  <a:pt x="59322" y="105994"/>
                  <a:pt x="60223" y="105308"/>
                </a:cubicBezTo>
                <a:cubicBezTo>
                  <a:pt x="63259" y="102959"/>
                  <a:pt x="66269" y="99720"/>
                  <a:pt x="69240" y="95568"/>
                </a:cubicBezTo>
                <a:lnTo>
                  <a:pt x="71717" y="97079"/>
                </a:lnTo>
                <a:cubicBezTo>
                  <a:pt x="69901" y="99911"/>
                  <a:pt x="67386" y="102997"/>
                  <a:pt x="64173" y="106375"/>
                </a:cubicBezTo>
                <a:cubicBezTo>
                  <a:pt x="60947" y="109766"/>
                  <a:pt x="58191" y="112103"/>
                  <a:pt x="55880" y="113399"/>
                </a:cubicBezTo>
                <a:cubicBezTo>
                  <a:pt x="53569" y="114694"/>
                  <a:pt x="51499" y="115354"/>
                  <a:pt x="49695" y="115354"/>
                </a:cubicBezTo>
                <a:cubicBezTo>
                  <a:pt x="47727" y="115354"/>
                  <a:pt x="46114" y="114732"/>
                  <a:pt x="44856" y="113474"/>
                </a:cubicBezTo>
                <a:cubicBezTo>
                  <a:pt x="43624" y="112230"/>
                  <a:pt x="42989" y="110617"/>
                  <a:pt x="42989" y="108648"/>
                </a:cubicBezTo>
                <a:cubicBezTo>
                  <a:pt x="42989" y="106311"/>
                  <a:pt x="43929" y="101956"/>
                  <a:pt x="45796" y="95568"/>
                </a:cubicBezTo>
                <a:lnTo>
                  <a:pt x="54953" y="63665"/>
                </a:lnTo>
                <a:cubicBezTo>
                  <a:pt x="56134" y="59677"/>
                  <a:pt x="56718" y="56528"/>
                  <a:pt x="56718" y="54242"/>
                </a:cubicBezTo>
                <a:cubicBezTo>
                  <a:pt x="56718" y="53175"/>
                  <a:pt x="56375" y="52324"/>
                  <a:pt x="55715" y="51689"/>
                </a:cubicBezTo>
                <a:cubicBezTo>
                  <a:pt x="55054" y="51054"/>
                  <a:pt x="54191" y="50736"/>
                  <a:pt x="53124" y="50736"/>
                </a:cubicBezTo>
                <a:cubicBezTo>
                  <a:pt x="51587" y="50736"/>
                  <a:pt x="49822" y="51321"/>
                  <a:pt x="47854" y="52489"/>
                </a:cubicBezTo>
                <a:cubicBezTo>
                  <a:pt x="44234" y="54725"/>
                  <a:pt x="40068" y="58865"/>
                  <a:pt x="35331" y="64935"/>
                </a:cubicBezTo>
                <a:cubicBezTo>
                  <a:pt x="34061" y="66586"/>
                  <a:pt x="29807" y="73228"/>
                  <a:pt x="22568" y="84874"/>
                </a:cubicBezTo>
                <a:cubicBezTo>
                  <a:pt x="20333" y="88608"/>
                  <a:pt x="18504" y="92672"/>
                  <a:pt x="17069" y="97079"/>
                </a:cubicBezTo>
                <a:lnTo>
                  <a:pt x="11963" y="113436"/>
                </a:lnTo>
                <a:lnTo>
                  <a:pt x="0" y="113436"/>
                </a:lnTo>
                <a:lnTo>
                  <a:pt x="26251" y="22174"/>
                </a:lnTo>
                <a:lnTo>
                  <a:pt x="29032" y="12281"/>
                </a:lnTo>
                <a:cubicBezTo>
                  <a:pt x="29032" y="10896"/>
                  <a:pt x="28461" y="9678"/>
                  <a:pt x="27318" y="8624"/>
                </a:cubicBezTo>
                <a:cubicBezTo>
                  <a:pt x="26175" y="7544"/>
                  <a:pt x="24778" y="7023"/>
                  <a:pt x="23127" y="7023"/>
                </a:cubicBezTo>
                <a:cubicBezTo>
                  <a:pt x="22174" y="7023"/>
                  <a:pt x="20714" y="7188"/>
                  <a:pt x="18745" y="7493"/>
                </a:cubicBezTo>
                <a:lnTo>
                  <a:pt x="17069" y="7734"/>
                </a:lnTo>
                <a:lnTo>
                  <a:pt x="17069" y="4623"/>
                </a:lnTo>
                <a:lnTo>
                  <a:pt x="44666"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2" name="Freeform 32">
            <a:extLst>
              <a:ext uri="{FF2B5EF4-FFF2-40B4-BE49-F238E27FC236}">
                <a16:creationId xmlns:a16="http://schemas.microsoft.com/office/drawing/2014/main" id="{EEEA8875-14D2-46FF-B77B-897F1D5E5AAF}"/>
              </a:ext>
            </a:extLst>
          </xdr:cNvPr>
          <xdr:cNvSpPr/>
        </xdr:nvSpPr>
        <xdr:spPr>
          <a:xfrm>
            <a:off x="8795" y="13687"/>
            <a:ext cx="335" cy="699"/>
          </a:xfrm>
          <a:custGeom>
            <a:avLst/>
            <a:gdLst/>
            <a:ahLst/>
            <a:cxnLst/>
            <a:rect l="l" t="t" r="r" b="b"/>
            <a:pathLst>
              <a:path w="33509" h="69940">
                <a:moveTo>
                  <a:pt x="33509" y="0"/>
                </a:moveTo>
                <a:lnTo>
                  <a:pt x="33509" y="4878"/>
                </a:lnTo>
                <a:lnTo>
                  <a:pt x="19113" y="24868"/>
                </a:lnTo>
                <a:cubicBezTo>
                  <a:pt x="14884" y="33745"/>
                  <a:pt x="12763" y="41784"/>
                  <a:pt x="12763" y="48972"/>
                </a:cubicBezTo>
                <a:cubicBezTo>
                  <a:pt x="12763" y="52579"/>
                  <a:pt x="13665" y="55437"/>
                  <a:pt x="15481" y="57532"/>
                </a:cubicBezTo>
                <a:cubicBezTo>
                  <a:pt x="17285" y="59640"/>
                  <a:pt x="19355" y="60694"/>
                  <a:pt x="21704" y="60694"/>
                </a:cubicBezTo>
                <a:cubicBezTo>
                  <a:pt x="24606" y="60694"/>
                  <a:pt x="27632" y="59621"/>
                  <a:pt x="30782" y="57478"/>
                </a:cubicBezTo>
                <a:lnTo>
                  <a:pt x="33509" y="54802"/>
                </a:lnTo>
                <a:lnTo>
                  <a:pt x="33509" y="59223"/>
                </a:lnTo>
                <a:lnTo>
                  <a:pt x="26645" y="66028"/>
                </a:lnTo>
                <a:cubicBezTo>
                  <a:pt x="22454" y="68632"/>
                  <a:pt x="18326" y="69940"/>
                  <a:pt x="14288" y="69940"/>
                </a:cubicBezTo>
                <a:cubicBezTo>
                  <a:pt x="10401" y="69940"/>
                  <a:pt x="7049" y="68327"/>
                  <a:pt x="4229" y="65114"/>
                </a:cubicBezTo>
                <a:cubicBezTo>
                  <a:pt x="1410" y="61900"/>
                  <a:pt x="0" y="57468"/>
                  <a:pt x="0" y="51830"/>
                </a:cubicBezTo>
                <a:cubicBezTo>
                  <a:pt x="0" y="43385"/>
                  <a:pt x="2540" y="34456"/>
                  <a:pt x="7620" y="25071"/>
                </a:cubicBezTo>
                <a:cubicBezTo>
                  <a:pt x="12687" y="15685"/>
                  <a:pt x="19152" y="8167"/>
                  <a:pt x="26975" y="2528"/>
                </a:cubicBezTo>
                <a:lnTo>
                  <a:pt x="33509"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3" name="Freeform 33">
            <a:extLst>
              <a:ext uri="{FF2B5EF4-FFF2-40B4-BE49-F238E27FC236}">
                <a16:creationId xmlns:a16="http://schemas.microsoft.com/office/drawing/2014/main" id="{64C1FE49-722F-42B6-9192-5E700B514C70}"/>
              </a:ext>
            </a:extLst>
          </xdr:cNvPr>
          <xdr:cNvSpPr/>
        </xdr:nvSpPr>
        <xdr:spPr>
          <a:xfrm>
            <a:off x="9130" y="13645"/>
            <a:ext cx="394" cy="741"/>
          </a:xfrm>
          <a:custGeom>
            <a:avLst/>
            <a:gdLst/>
            <a:ahLst/>
            <a:cxnLst/>
            <a:rect l="l" t="t" r="r" b="b"/>
            <a:pathLst>
              <a:path w="39326" h="74104">
                <a:moveTo>
                  <a:pt x="10763" y="0"/>
                </a:moveTo>
                <a:cubicBezTo>
                  <a:pt x="14014" y="0"/>
                  <a:pt x="16707" y="838"/>
                  <a:pt x="18866" y="2540"/>
                </a:cubicBezTo>
                <a:cubicBezTo>
                  <a:pt x="21012" y="4254"/>
                  <a:pt x="22663" y="7074"/>
                  <a:pt x="23781" y="10998"/>
                </a:cubicBezTo>
                <a:lnTo>
                  <a:pt x="26638" y="1918"/>
                </a:lnTo>
                <a:lnTo>
                  <a:pt x="39326" y="0"/>
                </a:lnTo>
                <a:lnTo>
                  <a:pt x="23781" y="54089"/>
                </a:lnTo>
                <a:lnTo>
                  <a:pt x="22016" y="61341"/>
                </a:lnTo>
                <a:cubicBezTo>
                  <a:pt x="21850" y="62026"/>
                  <a:pt x="21787" y="62623"/>
                  <a:pt x="21787" y="63094"/>
                </a:cubicBezTo>
                <a:cubicBezTo>
                  <a:pt x="21787" y="63944"/>
                  <a:pt x="22054" y="64694"/>
                  <a:pt x="22574" y="65329"/>
                </a:cubicBezTo>
                <a:cubicBezTo>
                  <a:pt x="23006" y="65811"/>
                  <a:pt x="23539" y="66053"/>
                  <a:pt x="24162" y="66053"/>
                </a:cubicBezTo>
                <a:cubicBezTo>
                  <a:pt x="24860" y="66053"/>
                  <a:pt x="25762" y="65621"/>
                  <a:pt x="26892" y="64770"/>
                </a:cubicBezTo>
                <a:cubicBezTo>
                  <a:pt x="28962" y="63233"/>
                  <a:pt x="31718" y="60045"/>
                  <a:pt x="35185" y="55194"/>
                </a:cubicBezTo>
                <a:lnTo>
                  <a:pt x="37891" y="57112"/>
                </a:lnTo>
                <a:cubicBezTo>
                  <a:pt x="34220" y="62636"/>
                  <a:pt x="30448" y="66853"/>
                  <a:pt x="26562" y="69748"/>
                </a:cubicBezTo>
                <a:cubicBezTo>
                  <a:pt x="22676" y="72657"/>
                  <a:pt x="19094" y="74104"/>
                  <a:pt x="15793" y="74104"/>
                </a:cubicBezTo>
                <a:cubicBezTo>
                  <a:pt x="13507" y="74104"/>
                  <a:pt x="11792" y="73533"/>
                  <a:pt x="10649" y="72390"/>
                </a:cubicBezTo>
                <a:cubicBezTo>
                  <a:pt x="9506" y="71247"/>
                  <a:pt x="8935" y="69596"/>
                  <a:pt x="8935" y="67411"/>
                </a:cubicBezTo>
                <a:cubicBezTo>
                  <a:pt x="8935" y="64795"/>
                  <a:pt x="9519" y="61366"/>
                  <a:pt x="10700" y="57112"/>
                </a:cubicBezTo>
                <a:lnTo>
                  <a:pt x="12363" y="51130"/>
                </a:lnTo>
                <a:lnTo>
                  <a:pt x="0" y="63387"/>
                </a:lnTo>
                <a:lnTo>
                  <a:pt x="0" y="58966"/>
                </a:lnTo>
                <a:lnTo>
                  <a:pt x="7093" y="52006"/>
                </a:lnTo>
                <a:cubicBezTo>
                  <a:pt x="16199" y="40627"/>
                  <a:pt x="20746" y="28956"/>
                  <a:pt x="20746" y="16993"/>
                </a:cubicBezTo>
                <a:cubicBezTo>
                  <a:pt x="20746" y="12459"/>
                  <a:pt x="19869" y="9195"/>
                  <a:pt x="18117" y="7176"/>
                </a:cubicBezTo>
                <a:cubicBezTo>
                  <a:pt x="16351" y="5156"/>
                  <a:pt x="13964" y="4140"/>
                  <a:pt x="10928" y="4140"/>
                </a:cubicBezTo>
                <a:cubicBezTo>
                  <a:pt x="7525" y="4140"/>
                  <a:pt x="3905" y="5740"/>
                  <a:pt x="83" y="8928"/>
                </a:cubicBezTo>
                <a:lnTo>
                  <a:pt x="0" y="9043"/>
                </a:lnTo>
                <a:lnTo>
                  <a:pt x="0" y="4164"/>
                </a:lnTo>
                <a:lnTo>
                  <a:pt x="1076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4" name="Freeform 34">
            <a:extLst>
              <a:ext uri="{FF2B5EF4-FFF2-40B4-BE49-F238E27FC236}">
                <a16:creationId xmlns:a16="http://schemas.microsoft.com/office/drawing/2014/main" id="{6A092D15-49B1-4BE4-96B8-30170DEA14C8}"/>
              </a:ext>
            </a:extLst>
          </xdr:cNvPr>
          <xdr:cNvSpPr/>
        </xdr:nvSpPr>
        <xdr:spPr>
          <a:xfrm>
            <a:off x="9394" y="13645"/>
            <a:ext cx="585" cy="1071"/>
          </a:xfrm>
          <a:custGeom>
            <a:avLst/>
            <a:gdLst/>
            <a:ahLst/>
            <a:cxnLst/>
            <a:rect l="l" t="t" r="r" b="b"/>
            <a:pathLst>
              <a:path w="58598" h="107138">
                <a:moveTo>
                  <a:pt x="54165" y="0"/>
                </a:moveTo>
                <a:lnTo>
                  <a:pt x="48666" y="18352"/>
                </a:lnTo>
                <a:lnTo>
                  <a:pt x="58598" y="9209"/>
                </a:lnTo>
                <a:lnTo>
                  <a:pt x="58598" y="13554"/>
                </a:lnTo>
                <a:lnTo>
                  <a:pt x="54851" y="16841"/>
                </a:lnTo>
                <a:cubicBezTo>
                  <a:pt x="49238" y="23432"/>
                  <a:pt x="45123" y="31141"/>
                  <a:pt x="42520" y="39967"/>
                </a:cubicBezTo>
                <a:lnTo>
                  <a:pt x="35585" y="63818"/>
                </a:lnTo>
                <a:cubicBezTo>
                  <a:pt x="38887" y="67755"/>
                  <a:pt x="43320" y="69724"/>
                  <a:pt x="48908" y="69724"/>
                </a:cubicBezTo>
                <a:cubicBezTo>
                  <a:pt x="51676" y="69724"/>
                  <a:pt x="54496" y="68949"/>
                  <a:pt x="57353" y="67412"/>
                </a:cubicBezTo>
                <a:lnTo>
                  <a:pt x="58598" y="66398"/>
                </a:lnTo>
                <a:lnTo>
                  <a:pt x="58598" y="71333"/>
                </a:lnTo>
                <a:lnTo>
                  <a:pt x="47714" y="74105"/>
                </a:lnTo>
                <a:cubicBezTo>
                  <a:pt x="45047" y="74105"/>
                  <a:pt x="42697" y="73813"/>
                  <a:pt x="40640" y="73241"/>
                </a:cubicBezTo>
                <a:cubicBezTo>
                  <a:pt x="38608" y="72644"/>
                  <a:pt x="36309" y="71616"/>
                  <a:pt x="33744" y="70130"/>
                </a:cubicBezTo>
                <a:lnTo>
                  <a:pt x="27927" y="90704"/>
                </a:lnTo>
                <a:cubicBezTo>
                  <a:pt x="26759" y="94755"/>
                  <a:pt x="26162" y="97384"/>
                  <a:pt x="26162" y="98603"/>
                </a:cubicBezTo>
                <a:cubicBezTo>
                  <a:pt x="26162" y="99771"/>
                  <a:pt x="26479" y="100774"/>
                  <a:pt x="27089" y="101600"/>
                </a:cubicBezTo>
                <a:cubicBezTo>
                  <a:pt x="27686" y="102413"/>
                  <a:pt x="28689" y="103061"/>
                  <a:pt x="30074" y="103505"/>
                </a:cubicBezTo>
                <a:cubicBezTo>
                  <a:pt x="31471" y="103963"/>
                  <a:pt x="34188" y="104191"/>
                  <a:pt x="38303" y="104191"/>
                </a:cubicBezTo>
                <a:lnTo>
                  <a:pt x="37579" y="107138"/>
                </a:lnTo>
                <a:lnTo>
                  <a:pt x="0" y="107138"/>
                </a:lnTo>
                <a:lnTo>
                  <a:pt x="800" y="104191"/>
                </a:lnTo>
                <a:cubicBezTo>
                  <a:pt x="5753" y="103975"/>
                  <a:pt x="9081" y="103124"/>
                  <a:pt x="10808" y="101639"/>
                </a:cubicBezTo>
                <a:cubicBezTo>
                  <a:pt x="12548" y="100140"/>
                  <a:pt x="14364" y="96025"/>
                  <a:pt x="16269" y="89269"/>
                </a:cubicBezTo>
                <a:lnTo>
                  <a:pt x="36462" y="19380"/>
                </a:lnTo>
                <a:cubicBezTo>
                  <a:pt x="37694" y="14974"/>
                  <a:pt x="38303" y="12230"/>
                  <a:pt x="38303" y="11164"/>
                </a:cubicBezTo>
                <a:cubicBezTo>
                  <a:pt x="38303" y="9729"/>
                  <a:pt x="37884" y="8624"/>
                  <a:pt x="37059" y="7811"/>
                </a:cubicBezTo>
                <a:cubicBezTo>
                  <a:pt x="36233" y="7024"/>
                  <a:pt x="34976" y="6617"/>
                  <a:pt x="33274" y="6617"/>
                </a:cubicBezTo>
                <a:cubicBezTo>
                  <a:pt x="31725" y="6617"/>
                  <a:pt x="29566" y="6807"/>
                  <a:pt x="26810" y="7189"/>
                </a:cubicBezTo>
                <a:lnTo>
                  <a:pt x="26810" y="4064"/>
                </a:lnTo>
                <a:lnTo>
                  <a:pt x="54165"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5" name="Freeform 35">
            <a:extLst>
              <a:ext uri="{FF2B5EF4-FFF2-40B4-BE49-F238E27FC236}">
                <a16:creationId xmlns:a16="http://schemas.microsoft.com/office/drawing/2014/main" id="{4A726A00-168B-439A-86BF-84CB138B284E}"/>
              </a:ext>
            </a:extLst>
          </xdr:cNvPr>
          <xdr:cNvSpPr/>
        </xdr:nvSpPr>
        <xdr:spPr>
          <a:xfrm>
            <a:off x="9979" y="13645"/>
            <a:ext cx="367" cy="713"/>
          </a:xfrm>
          <a:custGeom>
            <a:avLst/>
            <a:gdLst/>
            <a:ahLst/>
            <a:cxnLst/>
            <a:rect l="l" t="t" r="r" b="b"/>
            <a:pathLst>
              <a:path w="36665" h="71333">
                <a:moveTo>
                  <a:pt x="19495" y="0"/>
                </a:moveTo>
                <a:cubicBezTo>
                  <a:pt x="24232" y="0"/>
                  <a:pt x="28283" y="1880"/>
                  <a:pt x="31623" y="5627"/>
                </a:cubicBezTo>
                <a:cubicBezTo>
                  <a:pt x="34976" y="9373"/>
                  <a:pt x="36665" y="14263"/>
                  <a:pt x="36665" y="20269"/>
                </a:cubicBezTo>
                <a:cubicBezTo>
                  <a:pt x="36665" y="31966"/>
                  <a:pt x="31890" y="43853"/>
                  <a:pt x="22390" y="55969"/>
                </a:cubicBezTo>
                <a:cubicBezTo>
                  <a:pt x="17621" y="62014"/>
                  <a:pt x="12465" y="66548"/>
                  <a:pt x="6920" y="69571"/>
                </a:cubicBezTo>
                <a:lnTo>
                  <a:pt x="0" y="71333"/>
                </a:lnTo>
                <a:lnTo>
                  <a:pt x="0" y="66398"/>
                </a:lnTo>
                <a:lnTo>
                  <a:pt x="7176" y="60554"/>
                </a:lnTo>
                <a:cubicBezTo>
                  <a:pt x="9919" y="57519"/>
                  <a:pt x="12370" y="54014"/>
                  <a:pt x="14567" y="50051"/>
                </a:cubicBezTo>
                <a:cubicBezTo>
                  <a:pt x="16739" y="46089"/>
                  <a:pt x="18694" y="41440"/>
                  <a:pt x="20422" y="36056"/>
                </a:cubicBezTo>
                <a:cubicBezTo>
                  <a:pt x="22149" y="30697"/>
                  <a:pt x="23012" y="25375"/>
                  <a:pt x="23012" y="20104"/>
                </a:cubicBezTo>
                <a:cubicBezTo>
                  <a:pt x="23012" y="15850"/>
                  <a:pt x="22047" y="12586"/>
                  <a:pt x="20104" y="10338"/>
                </a:cubicBezTo>
                <a:cubicBezTo>
                  <a:pt x="18161" y="8065"/>
                  <a:pt x="15888" y="6947"/>
                  <a:pt x="13284" y="6947"/>
                </a:cubicBezTo>
                <a:cubicBezTo>
                  <a:pt x="10408" y="6947"/>
                  <a:pt x="7553" y="7769"/>
                  <a:pt x="4716" y="9417"/>
                </a:cubicBezTo>
                <a:lnTo>
                  <a:pt x="0" y="13554"/>
                </a:lnTo>
                <a:lnTo>
                  <a:pt x="0" y="9209"/>
                </a:lnTo>
                <a:lnTo>
                  <a:pt x="5588" y="4064"/>
                </a:lnTo>
                <a:cubicBezTo>
                  <a:pt x="10135" y="1359"/>
                  <a:pt x="14770" y="0"/>
                  <a:pt x="19495"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6" name="Freeform 36">
            <a:extLst>
              <a:ext uri="{FF2B5EF4-FFF2-40B4-BE49-F238E27FC236}">
                <a16:creationId xmlns:a16="http://schemas.microsoft.com/office/drawing/2014/main" id="{0C21A925-7135-4AF0-BD9C-4807D2AC1F7E}"/>
              </a:ext>
            </a:extLst>
          </xdr:cNvPr>
          <xdr:cNvSpPr/>
        </xdr:nvSpPr>
        <xdr:spPr>
          <a:xfrm>
            <a:off x="10210" y="13645"/>
            <a:ext cx="586" cy="1071"/>
          </a:xfrm>
          <a:custGeom>
            <a:avLst/>
            <a:gdLst/>
            <a:ahLst/>
            <a:cxnLst/>
            <a:rect l="l" t="t" r="r" b="b"/>
            <a:pathLst>
              <a:path w="58598" h="107138">
                <a:moveTo>
                  <a:pt x="54165" y="0"/>
                </a:moveTo>
                <a:lnTo>
                  <a:pt x="48666" y="18352"/>
                </a:lnTo>
                <a:lnTo>
                  <a:pt x="58598" y="9209"/>
                </a:lnTo>
                <a:lnTo>
                  <a:pt x="58598" y="13554"/>
                </a:lnTo>
                <a:lnTo>
                  <a:pt x="54851" y="16841"/>
                </a:lnTo>
                <a:cubicBezTo>
                  <a:pt x="49238" y="23432"/>
                  <a:pt x="45123" y="31141"/>
                  <a:pt x="42520" y="39967"/>
                </a:cubicBezTo>
                <a:lnTo>
                  <a:pt x="35585" y="63818"/>
                </a:lnTo>
                <a:cubicBezTo>
                  <a:pt x="38887" y="67755"/>
                  <a:pt x="43320" y="69724"/>
                  <a:pt x="48908" y="69724"/>
                </a:cubicBezTo>
                <a:cubicBezTo>
                  <a:pt x="51676" y="69724"/>
                  <a:pt x="54496" y="68949"/>
                  <a:pt x="57353" y="67412"/>
                </a:cubicBezTo>
                <a:lnTo>
                  <a:pt x="58598" y="66398"/>
                </a:lnTo>
                <a:lnTo>
                  <a:pt x="58598" y="71333"/>
                </a:lnTo>
                <a:lnTo>
                  <a:pt x="47714" y="74105"/>
                </a:lnTo>
                <a:cubicBezTo>
                  <a:pt x="45047" y="74105"/>
                  <a:pt x="42697" y="73813"/>
                  <a:pt x="40640" y="73241"/>
                </a:cubicBezTo>
                <a:cubicBezTo>
                  <a:pt x="38608" y="72644"/>
                  <a:pt x="36309" y="71616"/>
                  <a:pt x="33744" y="70130"/>
                </a:cubicBezTo>
                <a:lnTo>
                  <a:pt x="27927" y="90704"/>
                </a:lnTo>
                <a:cubicBezTo>
                  <a:pt x="26759" y="94755"/>
                  <a:pt x="26175" y="97384"/>
                  <a:pt x="26175" y="98603"/>
                </a:cubicBezTo>
                <a:cubicBezTo>
                  <a:pt x="26175" y="99771"/>
                  <a:pt x="26479" y="100774"/>
                  <a:pt x="27089" y="101600"/>
                </a:cubicBezTo>
                <a:cubicBezTo>
                  <a:pt x="27686" y="102413"/>
                  <a:pt x="28689" y="103061"/>
                  <a:pt x="30074" y="103505"/>
                </a:cubicBezTo>
                <a:cubicBezTo>
                  <a:pt x="31471" y="103963"/>
                  <a:pt x="34188" y="104191"/>
                  <a:pt x="38303" y="104191"/>
                </a:cubicBezTo>
                <a:lnTo>
                  <a:pt x="37579" y="107138"/>
                </a:lnTo>
                <a:lnTo>
                  <a:pt x="0" y="107138"/>
                </a:lnTo>
                <a:lnTo>
                  <a:pt x="800" y="104191"/>
                </a:lnTo>
                <a:cubicBezTo>
                  <a:pt x="5753" y="103975"/>
                  <a:pt x="9081" y="103124"/>
                  <a:pt x="10808" y="101639"/>
                </a:cubicBezTo>
                <a:cubicBezTo>
                  <a:pt x="12548" y="100140"/>
                  <a:pt x="14364" y="96025"/>
                  <a:pt x="16269" y="89269"/>
                </a:cubicBezTo>
                <a:lnTo>
                  <a:pt x="36462" y="19380"/>
                </a:lnTo>
                <a:cubicBezTo>
                  <a:pt x="37694" y="14974"/>
                  <a:pt x="38303" y="12230"/>
                  <a:pt x="38303" y="11164"/>
                </a:cubicBezTo>
                <a:cubicBezTo>
                  <a:pt x="38303" y="9729"/>
                  <a:pt x="37884" y="8624"/>
                  <a:pt x="37059" y="7811"/>
                </a:cubicBezTo>
                <a:cubicBezTo>
                  <a:pt x="36233" y="7024"/>
                  <a:pt x="34976" y="6617"/>
                  <a:pt x="33274" y="6617"/>
                </a:cubicBezTo>
                <a:cubicBezTo>
                  <a:pt x="31725" y="6617"/>
                  <a:pt x="29566" y="6807"/>
                  <a:pt x="26810" y="7189"/>
                </a:cubicBezTo>
                <a:lnTo>
                  <a:pt x="26810" y="4064"/>
                </a:lnTo>
                <a:lnTo>
                  <a:pt x="54165"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7" name="Freeform 37">
            <a:extLst>
              <a:ext uri="{FF2B5EF4-FFF2-40B4-BE49-F238E27FC236}">
                <a16:creationId xmlns:a16="http://schemas.microsoft.com/office/drawing/2014/main" id="{C3A4392C-AA1C-4A24-A06D-B4FA2F7BD5D9}"/>
              </a:ext>
            </a:extLst>
          </xdr:cNvPr>
          <xdr:cNvSpPr/>
        </xdr:nvSpPr>
        <xdr:spPr>
          <a:xfrm>
            <a:off x="10796" y="13645"/>
            <a:ext cx="367" cy="713"/>
          </a:xfrm>
          <a:custGeom>
            <a:avLst/>
            <a:gdLst/>
            <a:ahLst/>
            <a:cxnLst/>
            <a:rect l="l" t="t" r="r" b="b"/>
            <a:pathLst>
              <a:path w="36665" h="71333">
                <a:moveTo>
                  <a:pt x="19494" y="0"/>
                </a:moveTo>
                <a:cubicBezTo>
                  <a:pt x="24232" y="0"/>
                  <a:pt x="28283" y="1880"/>
                  <a:pt x="31623" y="5627"/>
                </a:cubicBezTo>
                <a:cubicBezTo>
                  <a:pt x="34976" y="9373"/>
                  <a:pt x="36665" y="14263"/>
                  <a:pt x="36665" y="20269"/>
                </a:cubicBezTo>
                <a:cubicBezTo>
                  <a:pt x="36665" y="31966"/>
                  <a:pt x="31890" y="43853"/>
                  <a:pt x="22390" y="55969"/>
                </a:cubicBezTo>
                <a:cubicBezTo>
                  <a:pt x="17621" y="62014"/>
                  <a:pt x="12465" y="66548"/>
                  <a:pt x="6920" y="69571"/>
                </a:cubicBezTo>
                <a:lnTo>
                  <a:pt x="0" y="71333"/>
                </a:lnTo>
                <a:lnTo>
                  <a:pt x="0" y="66398"/>
                </a:lnTo>
                <a:lnTo>
                  <a:pt x="7175" y="60554"/>
                </a:lnTo>
                <a:cubicBezTo>
                  <a:pt x="9919" y="57519"/>
                  <a:pt x="12370" y="54014"/>
                  <a:pt x="14567" y="50051"/>
                </a:cubicBezTo>
                <a:cubicBezTo>
                  <a:pt x="16739" y="46089"/>
                  <a:pt x="18694" y="41440"/>
                  <a:pt x="20422" y="36056"/>
                </a:cubicBezTo>
                <a:cubicBezTo>
                  <a:pt x="22149" y="30697"/>
                  <a:pt x="23012" y="25375"/>
                  <a:pt x="23012" y="20104"/>
                </a:cubicBezTo>
                <a:cubicBezTo>
                  <a:pt x="23012" y="15850"/>
                  <a:pt x="22047" y="12586"/>
                  <a:pt x="20104" y="10338"/>
                </a:cubicBezTo>
                <a:cubicBezTo>
                  <a:pt x="18161" y="8065"/>
                  <a:pt x="15888" y="6947"/>
                  <a:pt x="13284" y="6947"/>
                </a:cubicBezTo>
                <a:cubicBezTo>
                  <a:pt x="10408" y="6947"/>
                  <a:pt x="7553" y="7769"/>
                  <a:pt x="4716" y="9417"/>
                </a:cubicBezTo>
                <a:lnTo>
                  <a:pt x="0" y="13554"/>
                </a:lnTo>
                <a:lnTo>
                  <a:pt x="0" y="9209"/>
                </a:lnTo>
                <a:lnTo>
                  <a:pt x="5588" y="4064"/>
                </a:lnTo>
                <a:cubicBezTo>
                  <a:pt x="10135" y="1359"/>
                  <a:pt x="14770" y="0"/>
                  <a:pt x="19494"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8" name="Freeform 38">
            <a:extLst>
              <a:ext uri="{FF2B5EF4-FFF2-40B4-BE49-F238E27FC236}">
                <a16:creationId xmlns:a16="http://schemas.microsoft.com/office/drawing/2014/main" id="{A9581C49-8D0C-4983-9DC9-358B8C194490}"/>
              </a:ext>
            </a:extLst>
          </xdr:cNvPr>
          <xdr:cNvSpPr/>
        </xdr:nvSpPr>
        <xdr:spPr>
          <a:xfrm>
            <a:off x="11278" y="13645"/>
            <a:ext cx="305" cy="741"/>
          </a:xfrm>
          <a:custGeom>
            <a:avLst/>
            <a:gdLst/>
            <a:ahLst/>
            <a:cxnLst/>
            <a:rect l="l" t="t" r="r" b="b"/>
            <a:pathLst>
              <a:path w="30543" h="74104">
                <a:moveTo>
                  <a:pt x="30543" y="0"/>
                </a:moveTo>
                <a:lnTo>
                  <a:pt x="14757" y="55918"/>
                </a:lnTo>
                <a:cubicBezTo>
                  <a:pt x="13691" y="59690"/>
                  <a:pt x="13157" y="61950"/>
                  <a:pt x="13157" y="62699"/>
                </a:cubicBezTo>
                <a:cubicBezTo>
                  <a:pt x="13157" y="63564"/>
                  <a:pt x="13411" y="64236"/>
                  <a:pt x="13919" y="64782"/>
                </a:cubicBezTo>
                <a:cubicBezTo>
                  <a:pt x="14414" y="65303"/>
                  <a:pt x="15024" y="65570"/>
                  <a:pt x="15710" y="65570"/>
                </a:cubicBezTo>
                <a:cubicBezTo>
                  <a:pt x="16510" y="65570"/>
                  <a:pt x="17463" y="65151"/>
                  <a:pt x="18580" y="64287"/>
                </a:cubicBezTo>
                <a:cubicBezTo>
                  <a:pt x="21615" y="61913"/>
                  <a:pt x="24663" y="58496"/>
                  <a:pt x="27762" y="54089"/>
                </a:cubicBezTo>
                <a:lnTo>
                  <a:pt x="30543" y="55918"/>
                </a:lnTo>
                <a:cubicBezTo>
                  <a:pt x="26924" y="61442"/>
                  <a:pt x="22682" y="66103"/>
                  <a:pt x="17780" y="69875"/>
                </a:cubicBezTo>
                <a:cubicBezTo>
                  <a:pt x="14160" y="72695"/>
                  <a:pt x="10706" y="74104"/>
                  <a:pt x="7417" y="74104"/>
                </a:cubicBezTo>
                <a:cubicBezTo>
                  <a:pt x="5232" y="74104"/>
                  <a:pt x="3454" y="73457"/>
                  <a:pt x="2070" y="72148"/>
                </a:cubicBezTo>
                <a:cubicBezTo>
                  <a:pt x="686" y="70853"/>
                  <a:pt x="0" y="69215"/>
                  <a:pt x="0" y="67246"/>
                </a:cubicBezTo>
                <a:cubicBezTo>
                  <a:pt x="0" y="65277"/>
                  <a:pt x="660" y="62014"/>
                  <a:pt x="1994" y="57429"/>
                </a:cubicBezTo>
                <a:lnTo>
                  <a:pt x="12357" y="21692"/>
                </a:lnTo>
                <a:cubicBezTo>
                  <a:pt x="14059" y="15849"/>
                  <a:pt x="14922" y="12179"/>
                  <a:pt x="14922" y="10693"/>
                </a:cubicBezTo>
                <a:cubicBezTo>
                  <a:pt x="14922" y="9512"/>
                  <a:pt x="14503" y="8560"/>
                  <a:pt x="13678" y="7810"/>
                </a:cubicBezTo>
                <a:cubicBezTo>
                  <a:pt x="12840" y="7074"/>
                  <a:pt x="11722" y="6693"/>
                  <a:pt x="10287" y="6693"/>
                </a:cubicBezTo>
                <a:cubicBezTo>
                  <a:pt x="9119" y="6693"/>
                  <a:pt x="6693" y="6985"/>
                  <a:pt x="3023" y="7569"/>
                </a:cubicBezTo>
                <a:lnTo>
                  <a:pt x="3023" y="4457"/>
                </a:lnTo>
                <a:lnTo>
                  <a:pt x="3054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39" name="Freeform 39">
            <a:extLst>
              <a:ext uri="{FF2B5EF4-FFF2-40B4-BE49-F238E27FC236}">
                <a16:creationId xmlns:a16="http://schemas.microsoft.com/office/drawing/2014/main" id="{CD327892-3A84-48C0-9FB0-E2C63DE1859A}"/>
              </a:ext>
            </a:extLst>
          </xdr:cNvPr>
          <xdr:cNvSpPr/>
        </xdr:nvSpPr>
        <xdr:spPr>
          <a:xfrm>
            <a:off x="11493" y="13328"/>
            <a:ext cx="160" cy="160"/>
          </a:xfrm>
          <a:custGeom>
            <a:avLst/>
            <a:gdLst/>
            <a:ahLst/>
            <a:cxnLst/>
            <a:rect l="l" t="t" r="r" b="b"/>
            <a:pathLst>
              <a:path w="15951" h="15964">
                <a:moveTo>
                  <a:pt x="7976" y="0"/>
                </a:moveTo>
                <a:cubicBezTo>
                  <a:pt x="10198" y="0"/>
                  <a:pt x="12090" y="774"/>
                  <a:pt x="13640" y="2311"/>
                </a:cubicBezTo>
                <a:cubicBezTo>
                  <a:pt x="15176" y="3861"/>
                  <a:pt x="15951" y="5741"/>
                  <a:pt x="15951" y="7975"/>
                </a:cubicBezTo>
                <a:cubicBezTo>
                  <a:pt x="15951" y="10160"/>
                  <a:pt x="15164" y="12040"/>
                  <a:pt x="13602" y="13601"/>
                </a:cubicBezTo>
                <a:cubicBezTo>
                  <a:pt x="12027" y="15163"/>
                  <a:pt x="10147" y="15964"/>
                  <a:pt x="7976" y="15964"/>
                </a:cubicBezTo>
                <a:cubicBezTo>
                  <a:pt x="5791" y="15964"/>
                  <a:pt x="3912" y="15163"/>
                  <a:pt x="2349" y="13601"/>
                </a:cubicBezTo>
                <a:cubicBezTo>
                  <a:pt x="775" y="12040"/>
                  <a:pt x="0" y="10160"/>
                  <a:pt x="0" y="7975"/>
                </a:cubicBezTo>
                <a:cubicBezTo>
                  <a:pt x="0" y="5741"/>
                  <a:pt x="762" y="3861"/>
                  <a:pt x="2299" y="2311"/>
                </a:cubicBezTo>
                <a:cubicBezTo>
                  <a:pt x="3848" y="774"/>
                  <a:pt x="5740" y="0"/>
                  <a:pt x="7976"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0" name="Freeform 40">
            <a:extLst>
              <a:ext uri="{FF2B5EF4-FFF2-40B4-BE49-F238E27FC236}">
                <a16:creationId xmlns:a16="http://schemas.microsoft.com/office/drawing/2014/main" id="{35784999-EFD4-45E8-B306-D1373E2ECA7E}"/>
              </a:ext>
            </a:extLst>
          </xdr:cNvPr>
          <xdr:cNvSpPr/>
        </xdr:nvSpPr>
        <xdr:spPr>
          <a:xfrm>
            <a:off x="11693" y="13645"/>
            <a:ext cx="719" cy="741"/>
          </a:xfrm>
          <a:custGeom>
            <a:avLst/>
            <a:gdLst/>
            <a:ahLst/>
            <a:cxnLst/>
            <a:rect l="l" t="t" r="r" b="b"/>
            <a:pathLst>
              <a:path w="71946" h="74105">
                <a:moveTo>
                  <a:pt x="32944" y="0"/>
                </a:moveTo>
                <a:lnTo>
                  <a:pt x="22339" y="36296"/>
                </a:lnTo>
                <a:cubicBezTo>
                  <a:pt x="32283" y="21463"/>
                  <a:pt x="39903" y="11697"/>
                  <a:pt x="45187" y="7023"/>
                </a:cubicBezTo>
                <a:cubicBezTo>
                  <a:pt x="50482" y="2349"/>
                  <a:pt x="55575" y="0"/>
                  <a:pt x="60465" y="0"/>
                </a:cubicBezTo>
                <a:cubicBezTo>
                  <a:pt x="63119" y="0"/>
                  <a:pt x="65316" y="876"/>
                  <a:pt x="67043" y="2629"/>
                </a:cubicBezTo>
                <a:cubicBezTo>
                  <a:pt x="68771" y="4394"/>
                  <a:pt x="69634" y="6680"/>
                  <a:pt x="69634" y="9499"/>
                </a:cubicBezTo>
                <a:cubicBezTo>
                  <a:pt x="69634" y="12688"/>
                  <a:pt x="68872" y="16942"/>
                  <a:pt x="67323" y="22263"/>
                </a:cubicBezTo>
                <a:lnTo>
                  <a:pt x="57595" y="55842"/>
                </a:lnTo>
                <a:cubicBezTo>
                  <a:pt x="56477" y="59728"/>
                  <a:pt x="55918" y="62090"/>
                  <a:pt x="55918" y="62941"/>
                </a:cubicBezTo>
                <a:cubicBezTo>
                  <a:pt x="55918" y="63678"/>
                  <a:pt x="56134" y="64313"/>
                  <a:pt x="56553" y="64821"/>
                </a:cubicBezTo>
                <a:cubicBezTo>
                  <a:pt x="56985" y="65316"/>
                  <a:pt x="57429" y="65570"/>
                  <a:pt x="57912" y="65570"/>
                </a:cubicBezTo>
                <a:cubicBezTo>
                  <a:pt x="58547" y="65570"/>
                  <a:pt x="59322" y="65227"/>
                  <a:pt x="60223" y="64541"/>
                </a:cubicBezTo>
                <a:cubicBezTo>
                  <a:pt x="63043" y="62306"/>
                  <a:pt x="66129" y="58903"/>
                  <a:pt x="69482" y="54318"/>
                </a:cubicBezTo>
                <a:lnTo>
                  <a:pt x="71946" y="55842"/>
                </a:lnTo>
                <a:cubicBezTo>
                  <a:pt x="67005" y="62916"/>
                  <a:pt x="62332" y="67970"/>
                  <a:pt x="57912" y="70993"/>
                </a:cubicBezTo>
                <a:cubicBezTo>
                  <a:pt x="54826" y="73076"/>
                  <a:pt x="52057" y="74105"/>
                  <a:pt x="49619" y="74105"/>
                </a:cubicBezTo>
                <a:cubicBezTo>
                  <a:pt x="47650" y="74105"/>
                  <a:pt x="46076" y="73508"/>
                  <a:pt x="44907" y="72313"/>
                </a:cubicBezTo>
                <a:cubicBezTo>
                  <a:pt x="43739" y="71120"/>
                  <a:pt x="43155" y="69520"/>
                  <a:pt x="43155" y="67488"/>
                </a:cubicBezTo>
                <a:cubicBezTo>
                  <a:pt x="43155" y="64948"/>
                  <a:pt x="44056" y="60554"/>
                  <a:pt x="45860" y="54318"/>
                </a:cubicBezTo>
                <a:lnTo>
                  <a:pt x="55118" y="22263"/>
                </a:lnTo>
                <a:cubicBezTo>
                  <a:pt x="56286" y="18276"/>
                  <a:pt x="56883" y="15151"/>
                  <a:pt x="56883" y="12916"/>
                </a:cubicBezTo>
                <a:cubicBezTo>
                  <a:pt x="56883" y="11862"/>
                  <a:pt x="56528" y="10999"/>
                  <a:pt x="55842" y="10325"/>
                </a:cubicBezTo>
                <a:cubicBezTo>
                  <a:pt x="55143" y="9665"/>
                  <a:pt x="54293" y="9334"/>
                  <a:pt x="53289" y="9334"/>
                </a:cubicBezTo>
                <a:cubicBezTo>
                  <a:pt x="51791" y="9334"/>
                  <a:pt x="50025" y="9969"/>
                  <a:pt x="47943" y="11240"/>
                </a:cubicBezTo>
                <a:cubicBezTo>
                  <a:pt x="44006" y="13639"/>
                  <a:pt x="39916" y="17590"/>
                  <a:pt x="35662" y="23089"/>
                </a:cubicBezTo>
                <a:cubicBezTo>
                  <a:pt x="31407" y="28601"/>
                  <a:pt x="26911" y="35637"/>
                  <a:pt x="22174" y="44196"/>
                </a:cubicBezTo>
                <a:cubicBezTo>
                  <a:pt x="19672" y="48705"/>
                  <a:pt x="17590" y="53657"/>
                  <a:pt x="15951" y="59030"/>
                </a:cubicBezTo>
                <a:lnTo>
                  <a:pt x="11963" y="72199"/>
                </a:lnTo>
                <a:lnTo>
                  <a:pt x="0" y="72199"/>
                </a:lnTo>
                <a:lnTo>
                  <a:pt x="14516" y="22263"/>
                </a:lnTo>
                <a:cubicBezTo>
                  <a:pt x="16218" y="16243"/>
                  <a:pt x="17069" y="12624"/>
                  <a:pt x="17069" y="11405"/>
                </a:cubicBezTo>
                <a:cubicBezTo>
                  <a:pt x="17069" y="10237"/>
                  <a:pt x="16599" y="9220"/>
                  <a:pt x="15672" y="8331"/>
                </a:cubicBezTo>
                <a:cubicBezTo>
                  <a:pt x="14745" y="7455"/>
                  <a:pt x="13576" y="7023"/>
                  <a:pt x="12205" y="7023"/>
                </a:cubicBezTo>
                <a:cubicBezTo>
                  <a:pt x="11557" y="7023"/>
                  <a:pt x="10439" y="7124"/>
                  <a:pt x="8852" y="7341"/>
                </a:cubicBezTo>
                <a:lnTo>
                  <a:pt x="5817" y="7810"/>
                </a:lnTo>
                <a:lnTo>
                  <a:pt x="5347" y="4953"/>
                </a:lnTo>
                <a:lnTo>
                  <a:pt x="32944"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1" name="Freeform 41">
            <a:extLst>
              <a:ext uri="{FF2B5EF4-FFF2-40B4-BE49-F238E27FC236}">
                <a16:creationId xmlns:a16="http://schemas.microsoft.com/office/drawing/2014/main" id="{4E403BA7-02A2-47A6-B3BD-5C0B4B234542}"/>
              </a:ext>
            </a:extLst>
          </xdr:cNvPr>
          <xdr:cNvSpPr/>
        </xdr:nvSpPr>
        <xdr:spPr>
          <a:xfrm>
            <a:off x="12529" y="13688"/>
            <a:ext cx="344" cy="698"/>
          </a:xfrm>
          <a:custGeom>
            <a:avLst/>
            <a:gdLst/>
            <a:ahLst/>
            <a:cxnLst/>
            <a:rect l="l" t="t" r="r" b="b"/>
            <a:pathLst>
              <a:path w="34347" h="69814">
                <a:moveTo>
                  <a:pt x="34347" y="0"/>
                </a:moveTo>
                <a:lnTo>
                  <a:pt x="34347" y="5342"/>
                </a:lnTo>
                <a:lnTo>
                  <a:pt x="28359" y="8345"/>
                </a:lnTo>
                <a:cubicBezTo>
                  <a:pt x="22263" y="14111"/>
                  <a:pt x="17793" y="22645"/>
                  <a:pt x="14923" y="33910"/>
                </a:cubicBezTo>
                <a:cubicBezTo>
                  <a:pt x="22797" y="33009"/>
                  <a:pt x="29197" y="31459"/>
                  <a:pt x="34150" y="29287"/>
                </a:cubicBezTo>
                <a:lnTo>
                  <a:pt x="34347" y="29147"/>
                </a:lnTo>
                <a:lnTo>
                  <a:pt x="34347" y="33763"/>
                </a:lnTo>
                <a:lnTo>
                  <a:pt x="14364" y="37822"/>
                </a:lnTo>
                <a:cubicBezTo>
                  <a:pt x="13995" y="40489"/>
                  <a:pt x="13792" y="42686"/>
                  <a:pt x="13792" y="44452"/>
                </a:cubicBezTo>
                <a:cubicBezTo>
                  <a:pt x="13792" y="49176"/>
                  <a:pt x="15481" y="53201"/>
                  <a:pt x="18834" y="56529"/>
                </a:cubicBezTo>
                <a:cubicBezTo>
                  <a:pt x="22187" y="59844"/>
                  <a:pt x="26251" y="61507"/>
                  <a:pt x="31039" y="61507"/>
                </a:cubicBezTo>
                <a:lnTo>
                  <a:pt x="34347" y="60804"/>
                </a:lnTo>
                <a:lnTo>
                  <a:pt x="34347" y="66911"/>
                </a:lnTo>
                <a:lnTo>
                  <a:pt x="23457" y="69814"/>
                </a:lnTo>
                <a:cubicBezTo>
                  <a:pt x="15697" y="69814"/>
                  <a:pt x="9843" y="67362"/>
                  <a:pt x="5906" y="62460"/>
                </a:cubicBezTo>
                <a:cubicBezTo>
                  <a:pt x="1969" y="57570"/>
                  <a:pt x="0" y="52186"/>
                  <a:pt x="0" y="46280"/>
                </a:cubicBezTo>
                <a:cubicBezTo>
                  <a:pt x="0" y="38355"/>
                  <a:pt x="2438" y="30240"/>
                  <a:pt x="7341" y="21947"/>
                </a:cubicBezTo>
                <a:cubicBezTo>
                  <a:pt x="12230" y="13641"/>
                  <a:pt x="18377" y="7202"/>
                  <a:pt x="25768" y="2592"/>
                </a:cubicBezTo>
                <a:lnTo>
                  <a:pt x="34347"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2" name="Freeform 42">
            <a:extLst>
              <a:ext uri="{FF2B5EF4-FFF2-40B4-BE49-F238E27FC236}">
                <a16:creationId xmlns:a16="http://schemas.microsoft.com/office/drawing/2014/main" id="{C82E8EAD-1E49-4FA1-A36E-080813CED7F5}"/>
              </a:ext>
            </a:extLst>
          </xdr:cNvPr>
          <xdr:cNvSpPr/>
        </xdr:nvSpPr>
        <xdr:spPr>
          <a:xfrm>
            <a:off x="12873" y="14175"/>
            <a:ext cx="252" cy="182"/>
          </a:xfrm>
          <a:custGeom>
            <a:avLst/>
            <a:gdLst/>
            <a:ahLst/>
            <a:cxnLst/>
            <a:rect l="l" t="t" r="r" b="b"/>
            <a:pathLst>
              <a:path w="25165" h="18167">
                <a:moveTo>
                  <a:pt x="23489" y="0"/>
                </a:moveTo>
                <a:lnTo>
                  <a:pt x="25165" y="2311"/>
                </a:lnTo>
                <a:cubicBezTo>
                  <a:pt x="18866" y="8566"/>
                  <a:pt x="12710" y="13255"/>
                  <a:pt x="6699" y="16381"/>
                </a:cubicBezTo>
                <a:lnTo>
                  <a:pt x="0" y="18167"/>
                </a:lnTo>
                <a:lnTo>
                  <a:pt x="0" y="12059"/>
                </a:lnTo>
                <a:lnTo>
                  <a:pt x="7741" y="10413"/>
                </a:lnTo>
                <a:cubicBezTo>
                  <a:pt x="11271" y="8851"/>
                  <a:pt x="16529" y="5372"/>
                  <a:pt x="23489"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3" name="Freeform 43">
            <a:extLst>
              <a:ext uri="{FF2B5EF4-FFF2-40B4-BE49-F238E27FC236}">
                <a16:creationId xmlns:a16="http://schemas.microsoft.com/office/drawing/2014/main" id="{1495DA7A-589C-4D60-82F3-914774C346AF}"/>
              </a:ext>
            </a:extLst>
          </xdr:cNvPr>
          <xdr:cNvSpPr/>
        </xdr:nvSpPr>
        <xdr:spPr>
          <a:xfrm>
            <a:off x="12873" y="13645"/>
            <a:ext cx="308" cy="381"/>
          </a:xfrm>
          <a:custGeom>
            <a:avLst/>
            <a:gdLst/>
            <a:ahLst/>
            <a:cxnLst/>
            <a:rect l="l" t="t" r="r" b="b"/>
            <a:pathLst>
              <a:path w="30829" h="38066">
                <a:moveTo>
                  <a:pt x="14243" y="0"/>
                </a:moveTo>
                <a:cubicBezTo>
                  <a:pt x="19882" y="0"/>
                  <a:pt x="24047" y="1143"/>
                  <a:pt x="26765" y="3428"/>
                </a:cubicBezTo>
                <a:cubicBezTo>
                  <a:pt x="29483" y="5714"/>
                  <a:pt x="30829" y="8420"/>
                  <a:pt x="30829" y="11569"/>
                </a:cubicBezTo>
                <a:cubicBezTo>
                  <a:pt x="30829" y="15977"/>
                  <a:pt x="29077" y="20205"/>
                  <a:pt x="25572" y="24257"/>
                </a:cubicBezTo>
                <a:cubicBezTo>
                  <a:pt x="20936" y="29527"/>
                  <a:pt x="14129" y="33782"/>
                  <a:pt x="5150" y="37020"/>
                </a:cubicBezTo>
                <a:lnTo>
                  <a:pt x="0" y="38066"/>
                </a:lnTo>
                <a:lnTo>
                  <a:pt x="0" y="33450"/>
                </a:lnTo>
                <a:lnTo>
                  <a:pt x="14522" y="23089"/>
                </a:lnTo>
                <a:cubicBezTo>
                  <a:pt x="17786" y="19024"/>
                  <a:pt x="19425" y="15163"/>
                  <a:pt x="19425" y="11493"/>
                </a:cubicBezTo>
                <a:cubicBezTo>
                  <a:pt x="19425" y="9258"/>
                  <a:pt x="18713" y="7442"/>
                  <a:pt x="17304" y="6070"/>
                </a:cubicBezTo>
                <a:cubicBezTo>
                  <a:pt x="15907" y="4686"/>
                  <a:pt x="13900" y="3987"/>
                  <a:pt x="11284" y="3987"/>
                </a:cubicBezTo>
                <a:lnTo>
                  <a:pt x="0" y="9646"/>
                </a:lnTo>
                <a:lnTo>
                  <a:pt x="0" y="4304"/>
                </a:lnTo>
                <a:lnTo>
                  <a:pt x="1424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4" name="Freeform 44">
            <a:extLst>
              <a:ext uri="{FF2B5EF4-FFF2-40B4-BE49-F238E27FC236}">
                <a16:creationId xmlns:a16="http://schemas.microsoft.com/office/drawing/2014/main" id="{2AE92E49-DD79-4D67-B39E-61A73A478383}"/>
              </a:ext>
            </a:extLst>
          </xdr:cNvPr>
          <xdr:cNvSpPr/>
        </xdr:nvSpPr>
        <xdr:spPr>
          <a:xfrm>
            <a:off x="13188" y="13645"/>
            <a:ext cx="608" cy="741"/>
          </a:xfrm>
          <a:custGeom>
            <a:avLst/>
            <a:gdLst/>
            <a:ahLst/>
            <a:cxnLst/>
            <a:rect l="l" t="t" r="r" b="b"/>
            <a:pathLst>
              <a:path w="60795" h="74105">
                <a:moveTo>
                  <a:pt x="36703" y="0"/>
                </a:moveTo>
                <a:cubicBezTo>
                  <a:pt x="38405" y="0"/>
                  <a:pt x="39942" y="127"/>
                  <a:pt x="41326" y="394"/>
                </a:cubicBezTo>
                <a:cubicBezTo>
                  <a:pt x="42075" y="559"/>
                  <a:pt x="43815" y="1143"/>
                  <a:pt x="46558" y="2184"/>
                </a:cubicBezTo>
                <a:cubicBezTo>
                  <a:pt x="49289" y="3226"/>
                  <a:pt x="51118" y="3746"/>
                  <a:pt x="52019" y="3746"/>
                </a:cubicBezTo>
                <a:cubicBezTo>
                  <a:pt x="54305" y="3746"/>
                  <a:pt x="56210" y="2502"/>
                  <a:pt x="57760" y="0"/>
                </a:cubicBezTo>
                <a:lnTo>
                  <a:pt x="60795" y="0"/>
                </a:lnTo>
                <a:lnTo>
                  <a:pt x="55931" y="24499"/>
                </a:lnTo>
                <a:lnTo>
                  <a:pt x="52972" y="24499"/>
                </a:lnTo>
                <a:cubicBezTo>
                  <a:pt x="52705" y="17361"/>
                  <a:pt x="51194" y="12179"/>
                  <a:pt x="48425" y="8941"/>
                </a:cubicBezTo>
                <a:cubicBezTo>
                  <a:pt x="45657" y="5702"/>
                  <a:pt x="42240" y="4076"/>
                  <a:pt x="38138" y="4076"/>
                </a:cubicBezTo>
                <a:cubicBezTo>
                  <a:pt x="34836" y="4076"/>
                  <a:pt x="32220" y="4979"/>
                  <a:pt x="30277" y="6782"/>
                </a:cubicBezTo>
                <a:cubicBezTo>
                  <a:pt x="28334" y="8586"/>
                  <a:pt x="27368" y="10770"/>
                  <a:pt x="27368" y="13322"/>
                </a:cubicBezTo>
                <a:cubicBezTo>
                  <a:pt x="27368" y="15087"/>
                  <a:pt x="27750" y="16751"/>
                  <a:pt x="28524" y="18352"/>
                </a:cubicBezTo>
                <a:cubicBezTo>
                  <a:pt x="29299" y="19939"/>
                  <a:pt x="30988" y="22174"/>
                  <a:pt x="33592" y="25044"/>
                </a:cubicBezTo>
                <a:cubicBezTo>
                  <a:pt x="40500" y="32601"/>
                  <a:pt x="44971" y="38291"/>
                  <a:pt x="46990" y="42126"/>
                </a:cubicBezTo>
                <a:cubicBezTo>
                  <a:pt x="49009" y="45948"/>
                  <a:pt x="50025" y="49568"/>
                  <a:pt x="50025" y="52972"/>
                </a:cubicBezTo>
                <a:cubicBezTo>
                  <a:pt x="50025" y="58509"/>
                  <a:pt x="47727" y="63411"/>
                  <a:pt x="43117" y="67691"/>
                </a:cubicBezTo>
                <a:cubicBezTo>
                  <a:pt x="38519" y="71971"/>
                  <a:pt x="32703" y="74105"/>
                  <a:pt x="25692" y="74105"/>
                </a:cubicBezTo>
                <a:cubicBezTo>
                  <a:pt x="21869" y="74105"/>
                  <a:pt x="17450" y="73203"/>
                  <a:pt x="12446" y="71400"/>
                </a:cubicBezTo>
                <a:cubicBezTo>
                  <a:pt x="10693" y="70765"/>
                  <a:pt x="9335" y="70447"/>
                  <a:pt x="8382" y="70447"/>
                </a:cubicBezTo>
                <a:cubicBezTo>
                  <a:pt x="5982" y="70447"/>
                  <a:pt x="4178" y="71666"/>
                  <a:pt x="2959" y="74105"/>
                </a:cubicBezTo>
                <a:lnTo>
                  <a:pt x="0" y="74105"/>
                </a:lnTo>
                <a:lnTo>
                  <a:pt x="4877" y="48260"/>
                </a:lnTo>
                <a:lnTo>
                  <a:pt x="7823" y="48260"/>
                </a:lnTo>
                <a:cubicBezTo>
                  <a:pt x="8141" y="56350"/>
                  <a:pt x="9817" y="62052"/>
                  <a:pt x="12840" y="65405"/>
                </a:cubicBezTo>
                <a:cubicBezTo>
                  <a:pt x="15888" y="68770"/>
                  <a:pt x="20028" y="70447"/>
                  <a:pt x="25286" y="70447"/>
                </a:cubicBezTo>
                <a:cubicBezTo>
                  <a:pt x="29337" y="70447"/>
                  <a:pt x="32537" y="69317"/>
                  <a:pt x="34900" y="67056"/>
                </a:cubicBezTo>
                <a:cubicBezTo>
                  <a:pt x="37275" y="64795"/>
                  <a:pt x="38456" y="62014"/>
                  <a:pt x="38456" y="58712"/>
                </a:cubicBezTo>
                <a:cubicBezTo>
                  <a:pt x="38456" y="56591"/>
                  <a:pt x="38024" y="54623"/>
                  <a:pt x="37186" y="52819"/>
                </a:cubicBezTo>
                <a:cubicBezTo>
                  <a:pt x="35687" y="49619"/>
                  <a:pt x="32563" y="45200"/>
                  <a:pt x="27800" y="39574"/>
                </a:cubicBezTo>
                <a:cubicBezTo>
                  <a:pt x="23051" y="33934"/>
                  <a:pt x="19990" y="29705"/>
                  <a:pt x="18631" y="26886"/>
                </a:cubicBezTo>
                <a:cubicBezTo>
                  <a:pt x="17285" y="24067"/>
                  <a:pt x="16599" y="21247"/>
                  <a:pt x="16599" y="18428"/>
                </a:cubicBezTo>
                <a:cubicBezTo>
                  <a:pt x="16599" y="13271"/>
                  <a:pt x="18466" y="8916"/>
                  <a:pt x="22225" y="5347"/>
                </a:cubicBezTo>
                <a:cubicBezTo>
                  <a:pt x="25972" y="1778"/>
                  <a:pt x="30798" y="0"/>
                  <a:pt x="36703"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5" name="Freeform 45">
            <a:extLst>
              <a:ext uri="{FF2B5EF4-FFF2-40B4-BE49-F238E27FC236}">
                <a16:creationId xmlns:a16="http://schemas.microsoft.com/office/drawing/2014/main" id="{4086B39A-D658-47E5-AEE9-4F3D0ED53A1A}"/>
              </a:ext>
            </a:extLst>
          </xdr:cNvPr>
          <xdr:cNvSpPr/>
        </xdr:nvSpPr>
        <xdr:spPr>
          <a:xfrm>
            <a:off x="13824" y="13645"/>
            <a:ext cx="608" cy="741"/>
          </a:xfrm>
          <a:custGeom>
            <a:avLst/>
            <a:gdLst/>
            <a:ahLst/>
            <a:cxnLst/>
            <a:rect l="l" t="t" r="r" b="b"/>
            <a:pathLst>
              <a:path w="60795" h="74105">
                <a:moveTo>
                  <a:pt x="36703" y="0"/>
                </a:moveTo>
                <a:cubicBezTo>
                  <a:pt x="38405" y="0"/>
                  <a:pt x="39942" y="127"/>
                  <a:pt x="41326" y="394"/>
                </a:cubicBezTo>
                <a:cubicBezTo>
                  <a:pt x="42075" y="559"/>
                  <a:pt x="43815" y="1143"/>
                  <a:pt x="46558" y="2184"/>
                </a:cubicBezTo>
                <a:cubicBezTo>
                  <a:pt x="49289" y="3226"/>
                  <a:pt x="51118" y="3746"/>
                  <a:pt x="52019" y="3746"/>
                </a:cubicBezTo>
                <a:cubicBezTo>
                  <a:pt x="54305" y="3746"/>
                  <a:pt x="56210" y="2502"/>
                  <a:pt x="57760" y="0"/>
                </a:cubicBezTo>
                <a:lnTo>
                  <a:pt x="60795" y="0"/>
                </a:lnTo>
                <a:lnTo>
                  <a:pt x="55931" y="24499"/>
                </a:lnTo>
                <a:lnTo>
                  <a:pt x="52972" y="24499"/>
                </a:lnTo>
                <a:cubicBezTo>
                  <a:pt x="52705" y="17361"/>
                  <a:pt x="51194" y="12179"/>
                  <a:pt x="48425" y="8941"/>
                </a:cubicBezTo>
                <a:cubicBezTo>
                  <a:pt x="45657" y="5702"/>
                  <a:pt x="42240" y="4076"/>
                  <a:pt x="38138" y="4076"/>
                </a:cubicBezTo>
                <a:cubicBezTo>
                  <a:pt x="34836" y="4076"/>
                  <a:pt x="32220" y="4979"/>
                  <a:pt x="30277" y="6782"/>
                </a:cubicBezTo>
                <a:cubicBezTo>
                  <a:pt x="28334" y="8586"/>
                  <a:pt x="27368" y="10770"/>
                  <a:pt x="27368" y="13322"/>
                </a:cubicBezTo>
                <a:cubicBezTo>
                  <a:pt x="27368" y="15087"/>
                  <a:pt x="27750" y="16751"/>
                  <a:pt x="28524" y="18352"/>
                </a:cubicBezTo>
                <a:cubicBezTo>
                  <a:pt x="29299" y="19939"/>
                  <a:pt x="30988" y="22174"/>
                  <a:pt x="33592" y="25044"/>
                </a:cubicBezTo>
                <a:cubicBezTo>
                  <a:pt x="40500" y="32601"/>
                  <a:pt x="44971" y="38291"/>
                  <a:pt x="46990" y="42126"/>
                </a:cubicBezTo>
                <a:cubicBezTo>
                  <a:pt x="49009" y="45948"/>
                  <a:pt x="50025" y="49568"/>
                  <a:pt x="50025" y="52972"/>
                </a:cubicBezTo>
                <a:cubicBezTo>
                  <a:pt x="50025" y="58509"/>
                  <a:pt x="47727" y="63411"/>
                  <a:pt x="43117" y="67691"/>
                </a:cubicBezTo>
                <a:cubicBezTo>
                  <a:pt x="38519" y="71971"/>
                  <a:pt x="32703" y="74105"/>
                  <a:pt x="25692" y="74105"/>
                </a:cubicBezTo>
                <a:cubicBezTo>
                  <a:pt x="21869" y="74105"/>
                  <a:pt x="17450" y="73203"/>
                  <a:pt x="12446" y="71400"/>
                </a:cubicBezTo>
                <a:cubicBezTo>
                  <a:pt x="10693" y="70765"/>
                  <a:pt x="9335" y="70447"/>
                  <a:pt x="8382" y="70447"/>
                </a:cubicBezTo>
                <a:cubicBezTo>
                  <a:pt x="5982" y="70447"/>
                  <a:pt x="4178" y="71666"/>
                  <a:pt x="2959" y="74105"/>
                </a:cubicBezTo>
                <a:lnTo>
                  <a:pt x="0" y="74105"/>
                </a:lnTo>
                <a:lnTo>
                  <a:pt x="4877" y="48260"/>
                </a:lnTo>
                <a:lnTo>
                  <a:pt x="7823" y="48260"/>
                </a:lnTo>
                <a:cubicBezTo>
                  <a:pt x="8141" y="56350"/>
                  <a:pt x="9817" y="62052"/>
                  <a:pt x="12840" y="65405"/>
                </a:cubicBezTo>
                <a:cubicBezTo>
                  <a:pt x="15888" y="68770"/>
                  <a:pt x="20028" y="70447"/>
                  <a:pt x="25286" y="70447"/>
                </a:cubicBezTo>
                <a:cubicBezTo>
                  <a:pt x="29337" y="70447"/>
                  <a:pt x="32537" y="69317"/>
                  <a:pt x="34900" y="67056"/>
                </a:cubicBezTo>
                <a:cubicBezTo>
                  <a:pt x="37275" y="64795"/>
                  <a:pt x="38456" y="62014"/>
                  <a:pt x="38456" y="58712"/>
                </a:cubicBezTo>
                <a:cubicBezTo>
                  <a:pt x="38456" y="56591"/>
                  <a:pt x="38024" y="54623"/>
                  <a:pt x="37186" y="52819"/>
                </a:cubicBezTo>
                <a:cubicBezTo>
                  <a:pt x="35687" y="49619"/>
                  <a:pt x="32563" y="45200"/>
                  <a:pt x="27800" y="39574"/>
                </a:cubicBezTo>
                <a:cubicBezTo>
                  <a:pt x="23051" y="33934"/>
                  <a:pt x="19990" y="29705"/>
                  <a:pt x="18631" y="26886"/>
                </a:cubicBezTo>
                <a:cubicBezTo>
                  <a:pt x="17285" y="24067"/>
                  <a:pt x="16599" y="21247"/>
                  <a:pt x="16599" y="18428"/>
                </a:cubicBezTo>
                <a:cubicBezTo>
                  <a:pt x="16599" y="13271"/>
                  <a:pt x="18466" y="8916"/>
                  <a:pt x="22225" y="5347"/>
                </a:cubicBezTo>
                <a:cubicBezTo>
                  <a:pt x="25972" y="1778"/>
                  <a:pt x="30798" y="0"/>
                  <a:pt x="36703"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6" name="Freeform 46">
            <a:extLst>
              <a:ext uri="{FF2B5EF4-FFF2-40B4-BE49-F238E27FC236}">
                <a16:creationId xmlns:a16="http://schemas.microsoft.com/office/drawing/2014/main" id="{8A967227-F1D8-44BC-9D84-DA14FBED8B82}"/>
              </a:ext>
            </a:extLst>
          </xdr:cNvPr>
          <xdr:cNvSpPr/>
        </xdr:nvSpPr>
        <xdr:spPr>
          <a:xfrm>
            <a:off x="14954" y="13645"/>
            <a:ext cx="305" cy="741"/>
          </a:xfrm>
          <a:custGeom>
            <a:avLst/>
            <a:gdLst/>
            <a:ahLst/>
            <a:cxnLst/>
            <a:rect l="l" t="t" r="r" b="b"/>
            <a:pathLst>
              <a:path w="30543" h="74104">
                <a:moveTo>
                  <a:pt x="30543" y="0"/>
                </a:moveTo>
                <a:lnTo>
                  <a:pt x="14757" y="55918"/>
                </a:lnTo>
                <a:cubicBezTo>
                  <a:pt x="13691" y="59690"/>
                  <a:pt x="13157" y="61950"/>
                  <a:pt x="13157" y="62699"/>
                </a:cubicBezTo>
                <a:cubicBezTo>
                  <a:pt x="13157" y="63564"/>
                  <a:pt x="13411" y="64236"/>
                  <a:pt x="13919" y="64782"/>
                </a:cubicBezTo>
                <a:cubicBezTo>
                  <a:pt x="14414" y="65303"/>
                  <a:pt x="15024" y="65570"/>
                  <a:pt x="15710" y="65570"/>
                </a:cubicBezTo>
                <a:cubicBezTo>
                  <a:pt x="16510" y="65570"/>
                  <a:pt x="17463" y="65151"/>
                  <a:pt x="18580" y="64287"/>
                </a:cubicBezTo>
                <a:cubicBezTo>
                  <a:pt x="21615" y="61913"/>
                  <a:pt x="24663" y="58496"/>
                  <a:pt x="27762" y="54089"/>
                </a:cubicBezTo>
                <a:lnTo>
                  <a:pt x="30543" y="55918"/>
                </a:lnTo>
                <a:cubicBezTo>
                  <a:pt x="26924" y="61442"/>
                  <a:pt x="22682" y="66103"/>
                  <a:pt x="17780" y="69875"/>
                </a:cubicBezTo>
                <a:cubicBezTo>
                  <a:pt x="14160" y="72695"/>
                  <a:pt x="10706" y="74104"/>
                  <a:pt x="7417" y="74104"/>
                </a:cubicBezTo>
                <a:cubicBezTo>
                  <a:pt x="5232" y="74104"/>
                  <a:pt x="3454" y="73457"/>
                  <a:pt x="2070" y="72148"/>
                </a:cubicBezTo>
                <a:cubicBezTo>
                  <a:pt x="686" y="70853"/>
                  <a:pt x="0" y="69215"/>
                  <a:pt x="0" y="67246"/>
                </a:cubicBezTo>
                <a:cubicBezTo>
                  <a:pt x="0" y="65277"/>
                  <a:pt x="660" y="62014"/>
                  <a:pt x="1994" y="57429"/>
                </a:cubicBezTo>
                <a:lnTo>
                  <a:pt x="12357" y="21692"/>
                </a:lnTo>
                <a:cubicBezTo>
                  <a:pt x="14059" y="15849"/>
                  <a:pt x="14922" y="12179"/>
                  <a:pt x="14922" y="10693"/>
                </a:cubicBezTo>
                <a:cubicBezTo>
                  <a:pt x="14922" y="9512"/>
                  <a:pt x="14503" y="8560"/>
                  <a:pt x="13678" y="7810"/>
                </a:cubicBezTo>
                <a:cubicBezTo>
                  <a:pt x="12840" y="7074"/>
                  <a:pt x="11722" y="6693"/>
                  <a:pt x="10287" y="6693"/>
                </a:cubicBezTo>
                <a:cubicBezTo>
                  <a:pt x="9119" y="6693"/>
                  <a:pt x="6693" y="6985"/>
                  <a:pt x="3023" y="7569"/>
                </a:cubicBezTo>
                <a:lnTo>
                  <a:pt x="3023" y="4457"/>
                </a:lnTo>
                <a:lnTo>
                  <a:pt x="3054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7" name="Freeform 47">
            <a:extLst>
              <a:ext uri="{FF2B5EF4-FFF2-40B4-BE49-F238E27FC236}">
                <a16:creationId xmlns:a16="http://schemas.microsoft.com/office/drawing/2014/main" id="{F07F37CB-0F92-40EE-BD73-88F707CA9E64}"/>
              </a:ext>
            </a:extLst>
          </xdr:cNvPr>
          <xdr:cNvSpPr/>
        </xdr:nvSpPr>
        <xdr:spPr>
          <a:xfrm>
            <a:off x="15169" y="13328"/>
            <a:ext cx="160" cy="160"/>
          </a:xfrm>
          <a:custGeom>
            <a:avLst/>
            <a:gdLst/>
            <a:ahLst/>
            <a:cxnLst/>
            <a:rect l="l" t="t" r="r" b="b"/>
            <a:pathLst>
              <a:path w="15951" h="15964">
                <a:moveTo>
                  <a:pt x="7976" y="0"/>
                </a:moveTo>
                <a:cubicBezTo>
                  <a:pt x="10198" y="0"/>
                  <a:pt x="12090" y="774"/>
                  <a:pt x="13640" y="2311"/>
                </a:cubicBezTo>
                <a:cubicBezTo>
                  <a:pt x="15176" y="3861"/>
                  <a:pt x="15951" y="5741"/>
                  <a:pt x="15951" y="7975"/>
                </a:cubicBezTo>
                <a:cubicBezTo>
                  <a:pt x="15951" y="10160"/>
                  <a:pt x="15164" y="12040"/>
                  <a:pt x="13602" y="13601"/>
                </a:cubicBezTo>
                <a:cubicBezTo>
                  <a:pt x="12027" y="15163"/>
                  <a:pt x="10147" y="15964"/>
                  <a:pt x="7976" y="15964"/>
                </a:cubicBezTo>
                <a:cubicBezTo>
                  <a:pt x="5791" y="15964"/>
                  <a:pt x="3912" y="15163"/>
                  <a:pt x="2349" y="13601"/>
                </a:cubicBezTo>
                <a:cubicBezTo>
                  <a:pt x="775" y="12040"/>
                  <a:pt x="0" y="10160"/>
                  <a:pt x="0" y="7975"/>
                </a:cubicBezTo>
                <a:cubicBezTo>
                  <a:pt x="0" y="5741"/>
                  <a:pt x="762" y="3861"/>
                  <a:pt x="2299" y="2311"/>
                </a:cubicBezTo>
                <a:cubicBezTo>
                  <a:pt x="3848" y="774"/>
                  <a:pt x="5740" y="0"/>
                  <a:pt x="7976"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8" name="Freeform 48">
            <a:extLst>
              <a:ext uri="{FF2B5EF4-FFF2-40B4-BE49-F238E27FC236}">
                <a16:creationId xmlns:a16="http://schemas.microsoft.com/office/drawing/2014/main" id="{AFB6CB10-B195-4EC2-BF0B-96E3C068E7D3}"/>
              </a:ext>
            </a:extLst>
          </xdr:cNvPr>
          <xdr:cNvSpPr/>
        </xdr:nvSpPr>
        <xdr:spPr>
          <a:xfrm>
            <a:off x="15322" y="13645"/>
            <a:ext cx="608" cy="741"/>
          </a:xfrm>
          <a:custGeom>
            <a:avLst/>
            <a:gdLst/>
            <a:ahLst/>
            <a:cxnLst/>
            <a:rect l="l" t="t" r="r" b="b"/>
            <a:pathLst>
              <a:path w="60795" h="74105">
                <a:moveTo>
                  <a:pt x="36703" y="0"/>
                </a:moveTo>
                <a:cubicBezTo>
                  <a:pt x="38405" y="0"/>
                  <a:pt x="39942" y="127"/>
                  <a:pt x="41326" y="394"/>
                </a:cubicBezTo>
                <a:cubicBezTo>
                  <a:pt x="42075" y="559"/>
                  <a:pt x="43815" y="1143"/>
                  <a:pt x="46558" y="2184"/>
                </a:cubicBezTo>
                <a:cubicBezTo>
                  <a:pt x="49289" y="3226"/>
                  <a:pt x="51118" y="3746"/>
                  <a:pt x="52019" y="3746"/>
                </a:cubicBezTo>
                <a:cubicBezTo>
                  <a:pt x="54305" y="3746"/>
                  <a:pt x="56210" y="2502"/>
                  <a:pt x="57760" y="0"/>
                </a:cubicBezTo>
                <a:lnTo>
                  <a:pt x="60795" y="0"/>
                </a:lnTo>
                <a:lnTo>
                  <a:pt x="55931" y="24499"/>
                </a:lnTo>
                <a:lnTo>
                  <a:pt x="52972" y="24499"/>
                </a:lnTo>
                <a:cubicBezTo>
                  <a:pt x="52705" y="17361"/>
                  <a:pt x="51194" y="12179"/>
                  <a:pt x="48425" y="8941"/>
                </a:cubicBezTo>
                <a:cubicBezTo>
                  <a:pt x="45657" y="5702"/>
                  <a:pt x="42240" y="4076"/>
                  <a:pt x="38138" y="4076"/>
                </a:cubicBezTo>
                <a:cubicBezTo>
                  <a:pt x="34836" y="4076"/>
                  <a:pt x="32220" y="4979"/>
                  <a:pt x="30277" y="6782"/>
                </a:cubicBezTo>
                <a:cubicBezTo>
                  <a:pt x="28334" y="8586"/>
                  <a:pt x="27369" y="10770"/>
                  <a:pt x="27369" y="13322"/>
                </a:cubicBezTo>
                <a:cubicBezTo>
                  <a:pt x="27369" y="15087"/>
                  <a:pt x="27750" y="16751"/>
                  <a:pt x="28524" y="18352"/>
                </a:cubicBezTo>
                <a:cubicBezTo>
                  <a:pt x="29299" y="19939"/>
                  <a:pt x="30988" y="22174"/>
                  <a:pt x="33592" y="25044"/>
                </a:cubicBezTo>
                <a:cubicBezTo>
                  <a:pt x="40500" y="32601"/>
                  <a:pt x="44971" y="38291"/>
                  <a:pt x="46990" y="42126"/>
                </a:cubicBezTo>
                <a:cubicBezTo>
                  <a:pt x="49009" y="45948"/>
                  <a:pt x="50025" y="49568"/>
                  <a:pt x="50025" y="52972"/>
                </a:cubicBezTo>
                <a:cubicBezTo>
                  <a:pt x="50025" y="58509"/>
                  <a:pt x="47727" y="63411"/>
                  <a:pt x="43117" y="67691"/>
                </a:cubicBezTo>
                <a:cubicBezTo>
                  <a:pt x="38519" y="71971"/>
                  <a:pt x="32703" y="74105"/>
                  <a:pt x="25692" y="74105"/>
                </a:cubicBezTo>
                <a:cubicBezTo>
                  <a:pt x="21869" y="74105"/>
                  <a:pt x="17450" y="73203"/>
                  <a:pt x="12446" y="71400"/>
                </a:cubicBezTo>
                <a:cubicBezTo>
                  <a:pt x="10693" y="70765"/>
                  <a:pt x="9335" y="70447"/>
                  <a:pt x="8382" y="70447"/>
                </a:cubicBezTo>
                <a:cubicBezTo>
                  <a:pt x="5982" y="70447"/>
                  <a:pt x="4178" y="71666"/>
                  <a:pt x="2959" y="74105"/>
                </a:cubicBezTo>
                <a:lnTo>
                  <a:pt x="0" y="74105"/>
                </a:lnTo>
                <a:lnTo>
                  <a:pt x="4877" y="48260"/>
                </a:lnTo>
                <a:lnTo>
                  <a:pt x="7823" y="48260"/>
                </a:lnTo>
                <a:cubicBezTo>
                  <a:pt x="8141" y="56350"/>
                  <a:pt x="9817" y="62052"/>
                  <a:pt x="12840" y="65405"/>
                </a:cubicBezTo>
                <a:cubicBezTo>
                  <a:pt x="15888" y="68770"/>
                  <a:pt x="20028" y="70447"/>
                  <a:pt x="25286" y="70447"/>
                </a:cubicBezTo>
                <a:cubicBezTo>
                  <a:pt x="29337" y="70447"/>
                  <a:pt x="32537" y="69317"/>
                  <a:pt x="34900" y="67056"/>
                </a:cubicBezTo>
                <a:cubicBezTo>
                  <a:pt x="37275" y="64795"/>
                  <a:pt x="38456" y="62014"/>
                  <a:pt x="38456" y="58712"/>
                </a:cubicBezTo>
                <a:cubicBezTo>
                  <a:pt x="38456" y="56591"/>
                  <a:pt x="38037" y="54623"/>
                  <a:pt x="37186" y="52819"/>
                </a:cubicBezTo>
                <a:cubicBezTo>
                  <a:pt x="35687" y="49619"/>
                  <a:pt x="32563" y="45200"/>
                  <a:pt x="27800" y="39574"/>
                </a:cubicBezTo>
                <a:cubicBezTo>
                  <a:pt x="23051" y="33934"/>
                  <a:pt x="19990" y="29705"/>
                  <a:pt x="18631" y="26886"/>
                </a:cubicBezTo>
                <a:cubicBezTo>
                  <a:pt x="17285" y="24067"/>
                  <a:pt x="16599" y="21247"/>
                  <a:pt x="16599" y="18428"/>
                </a:cubicBezTo>
                <a:cubicBezTo>
                  <a:pt x="16599" y="13271"/>
                  <a:pt x="18466" y="8916"/>
                  <a:pt x="22225" y="5347"/>
                </a:cubicBezTo>
                <a:cubicBezTo>
                  <a:pt x="25972" y="1778"/>
                  <a:pt x="30798" y="0"/>
                  <a:pt x="36703"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49" name="Freeform 49">
            <a:extLst>
              <a:ext uri="{FF2B5EF4-FFF2-40B4-BE49-F238E27FC236}">
                <a16:creationId xmlns:a16="http://schemas.microsoft.com/office/drawing/2014/main" id="{E8D0DB11-9F59-40B8-AD08-22E87DE54F63}"/>
              </a:ext>
            </a:extLst>
          </xdr:cNvPr>
          <xdr:cNvSpPr/>
        </xdr:nvSpPr>
        <xdr:spPr>
          <a:xfrm>
            <a:off x="16430" y="13680"/>
            <a:ext cx="353" cy="706"/>
          </a:xfrm>
          <a:custGeom>
            <a:avLst/>
            <a:gdLst/>
            <a:ahLst/>
            <a:cxnLst/>
            <a:rect l="l" t="t" r="r" b="b"/>
            <a:pathLst>
              <a:path w="35300" h="70553">
                <a:moveTo>
                  <a:pt x="35300" y="0"/>
                </a:moveTo>
                <a:lnTo>
                  <a:pt x="35300" y="4026"/>
                </a:lnTo>
                <a:lnTo>
                  <a:pt x="33257" y="4788"/>
                </a:lnTo>
                <a:cubicBezTo>
                  <a:pt x="29658" y="7587"/>
                  <a:pt x="26213" y="11785"/>
                  <a:pt x="22924" y="17379"/>
                </a:cubicBezTo>
                <a:cubicBezTo>
                  <a:pt x="16370" y="28580"/>
                  <a:pt x="13081" y="39706"/>
                  <a:pt x="13081" y="50767"/>
                </a:cubicBezTo>
                <a:cubicBezTo>
                  <a:pt x="13081" y="55822"/>
                  <a:pt x="14364" y="59721"/>
                  <a:pt x="16916" y="62464"/>
                </a:cubicBezTo>
                <a:cubicBezTo>
                  <a:pt x="19469" y="65207"/>
                  <a:pt x="22682" y="66566"/>
                  <a:pt x="26569" y="66566"/>
                </a:cubicBezTo>
                <a:lnTo>
                  <a:pt x="35300" y="63220"/>
                </a:lnTo>
                <a:lnTo>
                  <a:pt x="35300" y="67263"/>
                </a:lnTo>
                <a:lnTo>
                  <a:pt x="24740" y="70553"/>
                </a:lnTo>
                <a:cubicBezTo>
                  <a:pt x="17437" y="70553"/>
                  <a:pt x="11494" y="68230"/>
                  <a:pt x="6896" y="63582"/>
                </a:cubicBezTo>
                <a:cubicBezTo>
                  <a:pt x="2311" y="58921"/>
                  <a:pt x="0" y="52888"/>
                  <a:pt x="0" y="45509"/>
                </a:cubicBezTo>
                <a:cubicBezTo>
                  <a:pt x="0" y="37686"/>
                  <a:pt x="2248" y="29837"/>
                  <a:pt x="6731" y="21977"/>
                </a:cubicBezTo>
                <a:cubicBezTo>
                  <a:pt x="11227" y="14102"/>
                  <a:pt x="17247" y="7879"/>
                  <a:pt x="24778" y="3307"/>
                </a:cubicBezTo>
                <a:lnTo>
                  <a:pt x="35300"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0" name="Freeform 50">
            <a:extLst>
              <a:ext uri="{FF2B5EF4-FFF2-40B4-BE49-F238E27FC236}">
                <a16:creationId xmlns:a16="http://schemas.microsoft.com/office/drawing/2014/main" id="{57094DD7-924E-44C7-B972-C3BA9D9D2ED7}"/>
              </a:ext>
            </a:extLst>
          </xdr:cNvPr>
          <xdr:cNvSpPr/>
        </xdr:nvSpPr>
        <xdr:spPr>
          <a:xfrm>
            <a:off x="16783" y="13645"/>
            <a:ext cx="354" cy="708"/>
          </a:xfrm>
          <a:custGeom>
            <a:avLst/>
            <a:gdLst/>
            <a:ahLst/>
            <a:cxnLst/>
            <a:rect l="l" t="t" r="r" b="b"/>
            <a:pathLst>
              <a:path w="35452" h="70814">
                <a:moveTo>
                  <a:pt x="11297" y="0"/>
                </a:moveTo>
                <a:cubicBezTo>
                  <a:pt x="18307" y="0"/>
                  <a:pt x="24098" y="2311"/>
                  <a:pt x="28632" y="6934"/>
                </a:cubicBezTo>
                <a:cubicBezTo>
                  <a:pt x="33179" y="11557"/>
                  <a:pt x="35452" y="17576"/>
                  <a:pt x="35452" y="24968"/>
                </a:cubicBezTo>
                <a:cubicBezTo>
                  <a:pt x="35452" y="32944"/>
                  <a:pt x="33344" y="40843"/>
                  <a:pt x="29115" y="48654"/>
                </a:cubicBezTo>
                <a:cubicBezTo>
                  <a:pt x="24886" y="56476"/>
                  <a:pt x="18993" y="62674"/>
                  <a:pt x="11449" y="67246"/>
                </a:cubicBezTo>
                <a:lnTo>
                  <a:pt x="0" y="70814"/>
                </a:lnTo>
                <a:lnTo>
                  <a:pt x="0" y="66771"/>
                </a:lnTo>
                <a:lnTo>
                  <a:pt x="2164" y="65942"/>
                </a:lnTo>
                <a:cubicBezTo>
                  <a:pt x="5680" y="63157"/>
                  <a:pt x="9080" y="58979"/>
                  <a:pt x="12363" y="53403"/>
                </a:cubicBezTo>
                <a:cubicBezTo>
                  <a:pt x="18942" y="42266"/>
                  <a:pt x="22219" y="30950"/>
                  <a:pt x="22219" y="19456"/>
                </a:cubicBezTo>
                <a:cubicBezTo>
                  <a:pt x="22219" y="14503"/>
                  <a:pt x="21012" y="10731"/>
                  <a:pt x="18586" y="8089"/>
                </a:cubicBezTo>
                <a:cubicBezTo>
                  <a:pt x="16173" y="5461"/>
                  <a:pt x="13049" y="4140"/>
                  <a:pt x="9214" y="4140"/>
                </a:cubicBezTo>
                <a:lnTo>
                  <a:pt x="0" y="7577"/>
                </a:lnTo>
                <a:lnTo>
                  <a:pt x="0" y="3551"/>
                </a:lnTo>
                <a:lnTo>
                  <a:pt x="11297"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1" name="Freeform 51">
            <a:extLst>
              <a:ext uri="{FF2B5EF4-FFF2-40B4-BE49-F238E27FC236}">
                <a16:creationId xmlns:a16="http://schemas.microsoft.com/office/drawing/2014/main" id="{D390046B-0DD2-42B7-BB6E-9D73D7BBF2A3}"/>
              </a:ext>
            </a:extLst>
          </xdr:cNvPr>
          <xdr:cNvSpPr/>
        </xdr:nvSpPr>
        <xdr:spPr>
          <a:xfrm>
            <a:off x="17247" y="13645"/>
            <a:ext cx="721" cy="741"/>
          </a:xfrm>
          <a:custGeom>
            <a:avLst/>
            <a:gdLst/>
            <a:ahLst/>
            <a:cxnLst/>
            <a:rect l="l" t="t" r="r" b="b"/>
            <a:pathLst>
              <a:path w="72123" h="74117">
                <a:moveTo>
                  <a:pt x="22111" y="0"/>
                </a:moveTo>
                <a:cubicBezTo>
                  <a:pt x="24067" y="0"/>
                  <a:pt x="25679" y="622"/>
                  <a:pt x="26924" y="1880"/>
                </a:cubicBezTo>
                <a:cubicBezTo>
                  <a:pt x="28181" y="3124"/>
                  <a:pt x="28804" y="4737"/>
                  <a:pt x="28804" y="6706"/>
                </a:cubicBezTo>
                <a:cubicBezTo>
                  <a:pt x="28804" y="9563"/>
                  <a:pt x="27737" y="14707"/>
                  <a:pt x="25616" y="22098"/>
                </a:cubicBezTo>
                <a:lnTo>
                  <a:pt x="18110" y="47866"/>
                </a:lnTo>
                <a:cubicBezTo>
                  <a:pt x="16040" y="54890"/>
                  <a:pt x="14999" y="59334"/>
                  <a:pt x="14999" y="61189"/>
                </a:cubicBezTo>
                <a:cubicBezTo>
                  <a:pt x="14999" y="62205"/>
                  <a:pt x="15329" y="63005"/>
                  <a:pt x="16002" y="63627"/>
                </a:cubicBezTo>
                <a:cubicBezTo>
                  <a:pt x="16662" y="64236"/>
                  <a:pt x="17564" y="64542"/>
                  <a:pt x="18669" y="64542"/>
                </a:cubicBezTo>
                <a:cubicBezTo>
                  <a:pt x="20422" y="64542"/>
                  <a:pt x="22720" y="63665"/>
                  <a:pt x="25527" y="61913"/>
                </a:cubicBezTo>
                <a:cubicBezTo>
                  <a:pt x="28346" y="60160"/>
                  <a:pt x="32118" y="56261"/>
                  <a:pt x="36817" y="50216"/>
                </a:cubicBezTo>
                <a:cubicBezTo>
                  <a:pt x="41529" y="44183"/>
                  <a:pt x="45415" y="38519"/>
                  <a:pt x="48463" y="33236"/>
                </a:cubicBezTo>
                <a:cubicBezTo>
                  <a:pt x="51524" y="27940"/>
                  <a:pt x="54788" y="19520"/>
                  <a:pt x="58242" y="7975"/>
                </a:cubicBezTo>
                <a:lnTo>
                  <a:pt x="59995" y="1918"/>
                </a:lnTo>
                <a:lnTo>
                  <a:pt x="72123" y="1918"/>
                </a:lnTo>
                <a:lnTo>
                  <a:pt x="58242" y="49467"/>
                </a:lnTo>
                <a:cubicBezTo>
                  <a:pt x="56159" y="56541"/>
                  <a:pt x="55131" y="61011"/>
                  <a:pt x="55131" y="62865"/>
                </a:cubicBezTo>
                <a:cubicBezTo>
                  <a:pt x="55131" y="63818"/>
                  <a:pt x="55308" y="64529"/>
                  <a:pt x="55651" y="64974"/>
                </a:cubicBezTo>
                <a:cubicBezTo>
                  <a:pt x="56007" y="65430"/>
                  <a:pt x="56452" y="65659"/>
                  <a:pt x="57036" y="65659"/>
                </a:cubicBezTo>
                <a:cubicBezTo>
                  <a:pt x="57950" y="65659"/>
                  <a:pt x="58941" y="65253"/>
                  <a:pt x="60033" y="64427"/>
                </a:cubicBezTo>
                <a:cubicBezTo>
                  <a:pt x="61125" y="63602"/>
                  <a:pt x="63881" y="60313"/>
                  <a:pt x="68288" y="54572"/>
                </a:cubicBezTo>
                <a:lnTo>
                  <a:pt x="70688" y="56400"/>
                </a:lnTo>
                <a:cubicBezTo>
                  <a:pt x="66485" y="63043"/>
                  <a:pt x="62179" y="67945"/>
                  <a:pt x="57760" y="71082"/>
                </a:cubicBezTo>
                <a:cubicBezTo>
                  <a:pt x="54839" y="73101"/>
                  <a:pt x="52019" y="74117"/>
                  <a:pt x="49301" y="74117"/>
                </a:cubicBezTo>
                <a:cubicBezTo>
                  <a:pt x="47219" y="74117"/>
                  <a:pt x="45606" y="73520"/>
                  <a:pt x="44437" y="72365"/>
                </a:cubicBezTo>
                <a:cubicBezTo>
                  <a:pt x="43269" y="71183"/>
                  <a:pt x="42685" y="69672"/>
                  <a:pt x="42685" y="67818"/>
                </a:cubicBezTo>
                <a:cubicBezTo>
                  <a:pt x="42685" y="66002"/>
                  <a:pt x="43028" y="63614"/>
                  <a:pt x="43726" y="60630"/>
                </a:cubicBezTo>
                <a:cubicBezTo>
                  <a:pt x="44577" y="56706"/>
                  <a:pt x="46990" y="48133"/>
                  <a:pt x="50978" y="34937"/>
                </a:cubicBezTo>
                <a:cubicBezTo>
                  <a:pt x="41948" y="49784"/>
                  <a:pt x="34379" y="60020"/>
                  <a:pt x="28296" y="65659"/>
                </a:cubicBezTo>
                <a:cubicBezTo>
                  <a:pt x="22200" y="71298"/>
                  <a:pt x="16548" y="74117"/>
                  <a:pt x="11341" y="74117"/>
                </a:cubicBezTo>
                <a:cubicBezTo>
                  <a:pt x="8890" y="74117"/>
                  <a:pt x="6820" y="73254"/>
                  <a:pt x="5106" y="71551"/>
                </a:cubicBezTo>
                <a:cubicBezTo>
                  <a:pt x="3404" y="69850"/>
                  <a:pt x="2565" y="67704"/>
                  <a:pt x="2565" y="65100"/>
                </a:cubicBezTo>
                <a:cubicBezTo>
                  <a:pt x="2565" y="61113"/>
                  <a:pt x="3721" y="54991"/>
                  <a:pt x="6071" y="46749"/>
                </a:cubicBezTo>
                <a:lnTo>
                  <a:pt x="13017" y="22098"/>
                </a:lnTo>
                <a:cubicBezTo>
                  <a:pt x="14707" y="16193"/>
                  <a:pt x="15570" y="12522"/>
                  <a:pt x="15570" y="11087"/>
                </a:cubicBezTo>
                <a:cubicBezTo>
                  <a:pt x="15570" y="10452"/>
                  <a:pt x="15329" y="9906"/>
                  <a:pt x="14884" y="9461"/>
                </a:cubicBezTo>
                <a:cubicBezTo>
                  <a:pt x="14427" y="8992"/>
                  <a:pt x="13945" y="8775"/>
                  <a:pt x="13399" y="8775"/>
                </a:cubicBezTo>
                <a:cubicBezTo>
                  <a:pt x="12294" y="8775"/>
                  <a:pt x="11176" y="9182"/>
                  <a:pt x="10058" y="9969"/>
                </a:cubicBezTo>
                <a:cubicBezTo>
                  <a:pt x="8941" y="10770"/>
                  <a:pt x="6414" y="13729"/>
                  <a:pt x="2477" y="18834"/>
                </a:cubicBezTo>
                <a:lnTo>
                  <a:pt x="0" y="17069"/>
                </a:lnTo>
                <a:cubicBezTo>
                  <a:pt x="3988" y="10909"/>
                  <a:pt x="8217" y="6362"/>
                  <a:pt x="12687" y="3429"/>
                </a:cubicBezTo>
                <a:cubicBezTo>
                  <a:pt x="16091" y="1143"/>
                  <a:pt x="19228" y="0"/>
                  <a:pt x="22111"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2" name="Freeform 52">
            <a:extLst>
              <a:ext uri="{FF2B5EF4-FFF2-40B4-BE49-F238E27FC236}">
                <a16:creationId xmlns:a16="http://schemas.microsoft.com/office/drawing/2014/main" id="{069884A6-F6B7-4F00-A321-FC4361A1D265}"/>
              </a:ext>
            </a:extLst>
          </xdr:cNvPr>
          <xdr:cNvSpPr/>
        </xdr:nvSpPr>
        <xdr:spPr>
          <a:xfrm>
            <a:off x="18049" y="13645"/>
            <a:ext cx="628" cy="722"/>
          </a:xfrm>
          <a:custGeom>
            <a:avLst/>
            <a:gdLst/>
            <a:ahLst/>
            <a:cxnLst/>
            <a:rect l="l" t="t" r="r" b="b"/>
            <a:pathLst>
              <a:path w="62789" h="72187">
                <a:moveTo>
                  <a:pt x="32703" y="0"/>
                </a:moveTo>
                <a:lnTo>
                  <a:pt x="21222" y="38760"/>
                </a:lnTo>
                <a:cubicBezTo>
                  <a:pt x="30531" y="22860"/>
                  <a:pt x="38976" y="11747"/>
                  <a:pt x="46596" y="5423"/>
                </a:cubicBezTo>
                <a:cubicBezTo>
                  <a:pt x="50902" y="1804"/>
                  <a:pt x="54407" y="0"/>
                  <a:pt x="57125" y="0"/>
                </a:cubicBezTo>
                <a:cubicBezTo>
                  <a:pt x="58865" y="0"/>
                  <a:pt x="60262" y="508"/>
                  <a:pt x="61265" y="1550"/>
                </a:cubicBezTo>
                <a:cubicBezTo>
                  <a:pt x="62281" y="2591"/>
                  <a:pt x="62789" y="4090"/>
                  <a:pt x="62789" y="6058"/>
                </a:cubicBezTo>
                <a:cubicBezTo>
                  <a:pt x="62789" y="9563"/>
                  <a:pt x="61875" y="12916"/>
                  <a:pt x="60071" y="16104"/>
                </a:cubicBezTo>
                <a:cubicBezTo>
                  <a:pt x="58788" y="18504"/>
                  <a:pt x="56960" y="19698"/>
                  <a:pt x="54559" y="19698"/>
                </a:cubicBezTo>
                <a:cubicBezTo>
                  <a:pt x="53340" y="19698"/>
                  <a:pt x="52286" y="19304"/>
                  <a:pt x="51410" y="18504"/>
                </a:cubicBezTo>
                <a:cubicBezTo>
                  <a:pt x="50533" y="17691"/>
                  <a:pt x="49987" y="16472"/>
                  <a:pt x="49784" y="14834"/>
                </a:cubicBezTo>
                <a:cubicBezTo>
                  <a:pt x="49670" y="13818"/>
                  <a:pt x="49428" y="13157"/>
                  <a:pt x="49060" y="12840"/>
                </a:cubicBezTo>
                <a:cubicBezTo>
                  <a:pt x="48641" y="12408"/>
                  <a:pt x="48133" y="12192"/>
                  <a:pt x="47549" y="12192"/>
                </a:cubicBezTo>
                <a:cubicBezTo>
                  <a:pt x="46647" y="12192"/>
                  <a:pt x="45784" y="12408"/>
                  <a:pt x="44996" y="12840"/>
                </a:cubicBezTo>
                <a:cubicBezTo>
                  <a:pt x="43612" y="13589"/>
                  <a:pt x="41504" y="15660"/>
                  <a:pt x="38697" y="19050"/>
                </a:cubicBezTo>
                <a:cubicBezTo>
                  <a:pt x="34277" y="24270"/>
                  <a:pt x="29489" y="31026"/>
                  <a:pt x="24333" y="39319"/>
                </a:cubicBezTo>
                <a:cubicBezTo>
                  <a:pt x="22098" y="42825"/>
                  <a:pt x="20180" y="46787"/>
                  <a:pt x="18593" y="51207"/>
                </a:cubicBezTo>
                <a:cubicBezTo>
                  <a:pt x="16358" y="57277"/>
                  <a:pt x="15088" y="60922"/>
                  <a:pt x="14757" y="62141"/>
                </a:cubicBezTo>
                <a:lnTo>
                  <a:pt x="12205" y="72187"/>
                </a:lnTo>
                <a:lnTo>
                  <a:pt x="0" y="72187"/>
                </a:lnTo>
                <a:lnTo>
                  <a:pt x="14757" y="22644"/>
                </a:lnTo>
                <a:cubicBezTo>
                  <a:pt x="16459" y="16904"/>
                  <a:pt x="17310" y="12802"/>
                  <a:pt x="17310" y="10364"/>
                </a:cubicBezTo>
                <a:cubicBezTo>
                  <a:pt x="17310" y="9411"/>
                  <a:pt x="16916" y="8611"/>
                  <a:pt x="16116" y="7963"/>
                </a:cubicBezTo>
                <a:cubicBezTo>
                  <a:pt x="15049" y="7125"/>
                  <a:pt x="13640" y="6693"/>
                  <a:pt x="11887" y="6693"/>
                </a:cubicBezTo>
                <a:cubicBezTo>
                  <a:pt x="10770" y="6693"/>
                  <a:pt x="8725" y="6921"/>
                  <a:pt x="5741" y="7417"/>
                </a:cubicBezTo>
                <a:lnTo>
                  <a:pt x="5182" y="4458"/>
                </a:lnTo>
                <a:lnTo>
                  <a:pt x="3270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3" name="Freeform 53">
            <a:extLst>
              <a:ext uri="{FF2B5EF4-FFF2-40B4-BE49-F238E27FC236}">
                <a16:creationId xmlns:a16="http://schemas.microsoft.com/office/drawing/2014/main" id="{693F0A34-C4E4-4E7C-9E12-4DE67F4226A7}"/>
              </a:ext>
            </a:extLst>
          </xdr:cNvPr>
          <xdr:cNvSpPr/>
        </xdr:nvSpPr>
        <xdr:spPr>
          <a:xfrm>
            <a:off x="18880" y="13645"/>
            <a:ext cx="586" cy="1071"/>
          </a:xfrm>
          <a:custGeom>
            <a:avLst/>
            <a:gdLst/>
            <a:ahLst/>
            <a:cxnLst/>
            <a:rect l="l" t="t" r="r" b="b"/>
            <a:pathLst>
              <a:path w="58598" h="107138">
                <a:moveTo>
                  <a:pt x="54165" y="0"/>
                </a:moveTo>
                <a:lnTo>
                  <a:pt x="48666" y="18352"/>
                </a:lnTo>
                <a:lnTo>
                  <a:pt x="58598" y="9209"/>
                </a:lnTo>
                <a:lnTo>
                  <a:pt x="58598" y="13554"/>
                </a:lnTo>
                <a:lnTo>
                  <a:pt x="54851" y="16841"/>
                </a:lnTo>
                <a:cubicBezTo>
                  <a:pt x="49238" y="23432"/>
                  <a:pt x="45123" y="31141"/>
                  <a:pt x="42520" y="39967"/>
                </a:cubicBezTo>
                <a:lnTo>
                  <a:pt x="35585" y="63818"/>
                </a:lnTo>
                <a:cubicBezTo>
                  <a:pt x="38887" y="67755"/>
                  <a:pt x="43320" y="69724"/>
                  <a:pt x="48908" y="69724"/>
                </a:cubicBezTo>
                <a:cubicBezTo>
                  <a:pt x="51676" y="69724"/>
                  <a:pt x="54496" y="68949"/>
                  <a:pt x="57353" y="67412"/>
                </a:cubicBezTo>
                <a:lnTo>
                  <a:pt x="58598" y="66398"/>
                </a:lnTo>
                <a:lnTo>
                  <a:pt x="58598" y="71333"/>
                </a:lnTo>
                <a:lnTo>
                  <a:pt x="47714" y="74105"/>
                </a:lnTo>
                <a:cubicBezTo>
                  <a:pt x="45047" y="74105"/>
                  <a:pt x="42697" y="73813"/>
                  <a:pt x="40640" y="73241"/>
                </a:cubicBezTo>
                <a:cubicBezTo>
                  <a:pt x="38608" y="72644"/>
                  <a:pt x="36309" y="71616"/>
                  <a:pt x="33744" y="70130"/>
                </a:cubicBezTo>
                <a:lnTo>
                  <a:pt x="27927" y="90704"/>
                </a:lnTo>
                <a:cubicBezTo>
                  <a:pt x="26759" y="94755"/>
                  <a:pt x="26175" y="97384"/>
                  <a:pt x="26175" y="98603"/>
                </a:cubicBezTo>
                <a:cubicBezTo>
                  <a:pt x="26175" y="99771"/>
                  <a:pt x="26480" y="100774"/>
                  <a:pt x="27076" y="101600"/>
                </a:cubicBezTo>
                <a:cubicBezTo>
                  <a:pt x="27686" y="102413"/>
                  <a:pt x="28689" y="103061"/>
                  <a:pt x="30074" y="103505"/>
                </a:cubicBezTo>
                <a:cubicBezTo>
                  <a:pt x="31471" y="103963"/>
                  <a:pt x="34188" y="104191"/>
                  <a:pt x="38303" y="104191"/>
                </a:cubicBezTo>
                <a:lnTo>
                  <a:pt x="37579" y="107138"/>
                </a:lnTo>
                <a:lnTo>
                  <a:pt x="0" y="107138"/>
                </a:lnTo>
                <a:lnTo>
                  <a:pt x="800" y="104191"/>
                </a:lnTo>
                <a:cubicBezTo>
                  <a:pt x="5753" y="103975"/>
                  <a:pt x="9080" y="103124"/>
                  <a:pt x="10808" y="101639"/>
                </a:cubicBezTo>
                <a:cubicBezTo>
                  <a:pt x="12548" y="100140"/>
                  <a:pt x="14364" y="96025"/>
                  <a:pt x="16269" y="89269"/>
                </a:cubicBezTo>
                <a:lnTo>
                  <a:pt x="36462" y="19380"/>
                </a:lnTo>
                <a:cubicBezTo>
                  <a:pt x="37694" y="14974"/>
                  <a:pt x="38303" y="12230"/>
                  <a:pt x="38303" y="11164"/>
                </a:cubicBezTo>
                <a:cubicBezTo>
                  <a:pt x="38303" y="9729"/>
                  <a:pt x="37884" y="8624"/>
                  <a:pt x="37059" y="7811"/>
                </a:cubicBezTo>
                <a:cubicBezTo>
                  <a:pt x="36233" y="7024"/>
                  <a:pt x="34976" y="6617"/>
                  <a:pt x="33274" y="6617"/>
                </a:cubicBezTo>
                <a:cubicBezTo>
                  <a:pt x="31725" y="6617"/>
                  <a:pt x="29566" y="6807"/>
                  <a:pt x="26810" y="7189"/>
                </a:cubicBezTo>
                <a:lnTo>
                  <a:pt x="26810" y="4064"/>
                </a:lnTo>
                <a:lnTo>
                  <a:pt x="54165"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4" name="Freeform 54">
            <a:extLst>
              <a:ext uri="{FF2B5EF4-FFF2-40B4-BE49-F238E27FC236}">
                <a16:creationId xmlns:a16="http://schemas.microsoft.com/office/drawing/2014/main" id="{6381A753-C2EA-42EF-975E-869B69B1D6B1}"/>
              </a:ext>
            </a:extLst>
          </xdr:cNvPr>
          <xdr:cNvSpPr/>
        </xdr:nvSpPr>
        <xdr:spPr>
          <a:xfrm>
            <a:off x="19466" y="13645"/>
            <a:ext cx="366" cy="713"/>
          </a:xfrm>
          <a:custGeom>
            <a:avLst/>
            <a:gdLst/>
            <a:ahLst/>
            <a:cxnLst/>
            <a:rect l="l" t="t" r="r" b="b"/>
            <a:pathLst>
              <a:path w="36665" h="71333">
                <a:moveTo>
                  <a:pt x="19495" y="0"/>
                </a:moveTo>
                <a:cubicBezTo>
                  <a:pt x="24232" y="0"/>
                  <a:pt x="28270" y="1880"/>
                  <a:pt x="31623" y="5627"/>
                </a:cubicBezTo>
                <a:cubicBezTo>
                  <a:pt x="34976" y="9373"/>
                  <a:pt x="36665" y="14263"/>
                  <a:pt x="36665" y="20269"/>
                </a:cubicBezTo>
                <a:cubicBezTo>
                  <a:pt x="36665" y="31966"/>
                  <a:pt x="31890" y="43853"/>
                  <a:pt x="22390" y="55969"/>
                </a:cubicBezTo>
                <a:cubicBezTo>
                  <a:pt x="17621" y="62014"/>
                  <a:pt x="12465" y="66548"/>
                  <a:pt x="6920" y="69571"/>
                </a:cubicBezTo>
                <a:lnTo>
                  <a:pt x="0" y="71333"/>
                </a:lnTo>
                <a:lnTo>
                  <a:pt x="0" y="66398"/>
                </a:lnTo>
                <a:lnTo>
                  <a:pt x="7176" y="60554"/>
                </a:lnTo>
                <a:cubicBezTo>
                  <a:pt x="9919" y="57519"/>
                  <a:pt x="12370" y="54014"/>
                  <a:pt x="14567" y="50051"/>
                </a:cubicBezTo>
                <a:cubicBezTo>
                  <a:pt x="16739" y="46089"/>
                  <a:pt x="18694" y="41440"/>
                  <a:pt x="20422" y="36056"/>
                </a:cubicBezTo>
                <a:cubicBezTo>
                  <a:pt x="22149" y="30697"/>
                  <a:pt x="23012" y="25375"/>
                  <a:pt x="23012" y="20104"/>
                </a:cubicBezTo>
                <a:cubicBezTo>
                  <a:pt x="23012" y="15850"/>
                  <a:pt x="22047" y="12586"/>
                  <a:pt x="20104" y="10338"/>
                </a:cubicBezTo>
                <a:cubicBezTo>
                  <a:pt x="18161" y="8065"/>
                  <a:pt x="15888" y="6947"/>
                  <a:pt x="13284" y="6947"/>
                </a:cubicBezTo>
                <a:cubicBezTo>
                  <a:pt x="10408" y="6947"/>
                  <a:pt x="7553" y="7769"/>
                  <a:pt x="4717" y="9417"/>
                </a:cubicBezTo>
                <a:lnTo>
                  <a:pt x="0" y="13554"/>
                </a:lnTo>
                <a:lnTo>
                  <a:pt x="0" y="9209"/>
                </a:lnTo>
                <a:lnTo>
                  <a:pt x="5588" y="4064"/>
                </a:lnTo>
                <a:cubicBezTo>
                  <a:pt x="10135" y="1359"/>
                  <a:pt x="14770" y="0"/>
                  <a:pt x="19495"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5" name="Freeform 55">
            <a:extLst>
              <a:ext uri="{FF2B5EF4-FFF2-40B4-BE49-F238E27FC236}">
                <a16:creationId xmlns:a16="http://schemas.microsoft.com/office/drawing/2014/main" id="{B9C06DEA-2ED6-487C-8F92-99AE098B4EA1}"/>
              </a:ext>
            </a:extLst>
          </xdr:cNvPr>
          <xdr:cNvSpPr/>
        </xdr:nvSpPr>
        <xdr:spPr>
          <a:xfrm>
            <a:off x="19910" y="13645"/>
            <a:ext cx="628" cy="722"/>
          </a:xfrm>
          <a:custGeom>
            <a:avLst/>
            <a:gdLst/>
            <a:ahLst/>
            <a:cxnLst/>
            <a:rect l="l" t="t" r="r" b="b"/>
            <a:pathLst>
              <a:path w="62789" h="72187">
                <a:moveTo>
                  <a:pt x="32703" y="0"/>
                </a:moveTo>
                <a:lnTo>
                  <a:pt x="21222" y="38760"/>
                </a:lnTo>
                <a:cubicBezTo>
                  <a:pt x="30531" y="22860"/>
                  <a:pt x="38976" y="11747"/>
                  <a:pt x="46596" y="5423"/>
                </a:cubicBezTo>
                <a:cubicBezTo>
                  <a:pt x="50902" y="1804"/>
                  <a:pt x="54407" y="0"/>
                  <a:pt x="57125" y="0"/>
                </a:cubicBezTo>
                <a:cubicBezTo>
                  <a:pt x="58865" y="0"/>
                  <a:pt x="60262" y="508"/>
                  <a:pt x="61265" y="1550"/>
                </a:cubicBezTo>
                <a:cubicBezTo>
                  <a:pt x="62281" y="2591"/>
                  <a:pt x="62789" y="4090"/>
                  <a:pt x="62789" y="6058"/>
                </a:cubicBezTo>
                <a:cubicBezTo>
                  <a:pt x="62789" y="9563"/>
                  <a:pt x="61875" y="12916"/>
                  <a:pt x="60071" y="16104"/>
                </a:cubicBezTo>
                <a:cubicBezTo>
                  <a:pt x="58788" y="18504"/>
                  <a:pt x="56960" y="19698"/>
                  <a:pt x="54559" y="19698"/>
                </a:cubicBezTo>
                <a:cubicBezTo>
                  <a:pt x="53340" y="19698"/>
                  <a:pt x="52286" y="19304"/>
                  <a:pt x="51410" y="18504"/>
                </a:cubicBezTo>
                <a:cubicBezTo>
                  <a:pt x="50533" y="17691"/>
                  <a:pt x="49987" y="16472"/>
                  <a:pt x="49784" y="14834"/>
                </a:cubicBezTo>
                <a:cubicBezTo>
                  <a:pt x="49670" y="13818"/>
                  <a:pt x="49428" y="13157"/>
                  <a:pt x="49060" y="12840"/>
                </a:cubicBezTo>
                <a:cubicBezTo>
                  <a:pt x="48641" y="12408"/>
                  <a:pt x="48133" y="12192"/>
                  <a:pt x="47549" y="12192"/>
                </a:cubicBezTo>
                <a:cubicBezTo>
                  <a:pt x="46647" y="12192"/>
                  <a:pt x="45784" y="12408"/>
                  <a:pt x="44996" y="12840"/>
                </a:cubicBezTo>
                <a:cubicBezTo>
                  <a:pt x="43612" y="13589"/>
                  <a:pt x="41504" y="15660"/>
                  <a:pt x="38697" y="19050"/>
                </a:cubicBezTo>
                <a:cubicBezTo>
                  <a:pt x="34277" y="24270"/>
                  <a:pt x="29489" y="31026"/>
                  <a:pt x="24333" y="39319"/>
                </a:cubicBezTo>
                <a:cubicBezTo>
                  <a:pt x="22098" y="42825"/>
                  <a:pt x="20180" y="46787"/>
                  <a:pt x="18593" y="51207"/>
                </a:cubicBezTo>
                <a:cubicBezTo>
                  <a:pt x="16358" y="57277"/>
                  <a:pt x="15088" y="60922"/>
                  <a:pt x="14757" y="62141"/>
                </a:cubicBezTo>
                <a:lnTo>
                  <a:pt x="12205" y="72187"/>
                </a:lnTo>
                <a:lnTo>
                  <a:pt x="0" y="72187"/>
                </a:lnTo>
                <a:lnTo>
                  <a:pt x="14757" y="22644"/>
                </a:lnTo>
                <a:cubicBezTo>
                  <a:pt x="16459" y="16904"/>
                  <a:pt x="17310" y="12802"/>
                  <a:pt x="17310" y="10364"/>
                </a:cubicBezTo>
                <a:cubicBezTo>
                  <a:pt x="17310" y="9411"/>
                  <a:pt x="16916" y="8611"/>
                  <a:pt x="16116" y="7963"/>
                </a:cubicBezTo>
                <a:cubicBezTo>
                  <a:pt x="15049" y="7125"/>
                  <a:pt x="13640" y="6693"/>
                  <a:pt x="11887" y="6693"/>
                </a:cubicBezTo>
                <a:cubicBezTo>
                  <a:pt x="10770" y="6693"/>
                  <a:pt x="8725" y="6921"/>
                  <a:pt x="5741" y="7417"/>
                </a:cubicBezTo>
                <a:lnTo>
                  <a:pt x="5182" y="4458"/>
                </a:lnTo>
                <a:lnTo>
                  <a:pt x="3270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6" name="Freeform 56">
            <a:extLst>
              <a:ext uri="{FF2B5EF4-FFF2-40B4-BE49-F238E27FC236}">
                <a16:creationId xmlns:a16="http://schemas.microsoft.com/office/drawing/2014/main" id="{BD8947E7-91DA-4A58-9411-B303EADD2689}"/>
              </a:ext>
            </a:extLst>
          </xdr:cNvPr>
          <xdr:cNvSpPr/>
        </xdr:nvSpPr>
        <xdr:spPr>
          <a:xfrm>
            <a:off x="20583" y="13645"/>
            <a:ext cx="305" cy="741"/>
          </a:xfrm>
          <a:custGeom>
            <a:avLst/>
            <a:gdLst/>
            <a:ahLst/>
            <a:cxnLst/>
            <a:rect l="l" t="t" r="r" b="b"/>
            <a:pathLst>
              <a:path w="30543" h="74104">
                <a:moveTo>
                  <a:pt x="30543" y="0"/>
                </a:moveTo>
                <a:lnTo>
                  <a:pt x="14757" y="55918"/>
                </a:lnTo>
                <a:cubicBezTo>
                  <a:pt x="13691" y="59690"/>
                  <a:pt x="13157" y="61950"/>
                  <a:pt x="13157" y="62699"/>
                </a:cubicBezTo>
                <a:cubicBezTo>
                  <a:pt x="13157" y="63564"/>
                  <a:pt x="13411" y="64236"/>
                  <a:pt x="13919" y="64782"/>
                </a:cubicBezTo>
                <a:cubicBezTo>
                  <a:pt x="14415" y="65303"/>
                  <a:pt x="15024" y="65570"/>
                  <a:pt x="15710" y="65570"/>
                </a:cubicBezTo>
                <a:cubicBezTo>
                  <a:pt x="16510" y="65570"/>
                  <a:pt x="17463" y="65151"/>
                  <a:pt x="18580" y="64287"/>
                </a:cubicBezTo>
                <a:cubicBezTo>
                  <a:pt x="21616" y="61913"/>
                  <a:pt x="24663" y="58496"/>
                  <a:pt x="27762" y="54089"/>
                </a:cubicBezTo>
                <a:lnTo>
                  <a:pt x="30543" y="55918"/>
                </a:lnTo>
                <a:cubicBezTo>
                  <a:pt x="26924" y="61442"/>
                  <a:pt x="22682" y="66103"/>
                  <a:pt x="17780" y="69875"/>
                </a:cubicBezTo>
                <a:cubicBezTo>
                  <a:pt x="14161" y="72695"/>
                  <a:pt x="10706" y="74104"/>
                  <a:pt x="7417" y="74104"/>
                </a:cubicBezTo>
                <a:cubicBezTo>
                  <a:pt x="5232" y="74104"/>
                  <a:pt x="3454" y="73457"/>
                  <a:pt x="2070" y="72148"/>
                </a:cubicBezTo>
                <a:cubicBezTo>
                  <a:pt x="686" y="70853"/>
                  <a:pt x="0" y="69215"/>
                  <a:pt x="0" y="67246"/>
                </a:cubicBezTo>
                <a:cubicBezTo>
                  <a:pt x="0" y="65277"/>
                  <a:pt x="660" y="62014"/>
                  <a:pt x="1994" y="57429"/>
                </a:cubicBezTo>
                <a:lnTo>
                  <a:pt x="12357" y="21692"/>
                </a:lnTo>
                <a:cubicBezTo>
                  <a:pt x="14059" y="15849"/>
                  <a:pt x="14923" y="12179"/>
                  <a:pt x="14923" y="10693"/>
                </a:cubicBezTo>
                <a:cubicBezTo>
                  <a:pt x="14923" y="9512"/>
                  <a:pt x="14503" y="8560"/>
                  <a:pt x="13678" y="7810"/>
                </a:cubicBezTo>
                <a:cubicBezTo>
                  <a:pt x="12840" y="7074"/>
                  <a:pt x="11722" y="6693"/>
                  <a:pt x="10287" y="6693"/>
                </a:cubicBezTo>
                <a:cubicBezTo>
                  <a:pt x="9119" y="6693"/>
                  <a:pt x="6693" y="6985"/>
                  <a:pt x="3023" y="7569"/>
                </a:cubicBezTo>
                <a:lnTo>
                  <a:pt x="3023" y="4457"/>
                </a:lnTo>
                <a:lnTo>
                  <a:pt x="3054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7" name="Freeform 57">
            <a:extLst>
              <a:ext uri="{FF2B5EF4-FFF2-40B4-BE49-F238E27FC236}">
                <a16:creationId xmlns:a16="http://schemas.microsoft.com/office/drawing/2014/main" id="{61F4D61B-BBE9-47EC-87FF-B5637243347C}"/>
              </a:ext>
            </a:extLst>
          </xdr:cNvPr>
          <xdr:cNvSpPr/>
        </xdr:nvSpPr>
        <xdr:spPr>
          <a:xfrm>
            <a:off x="20798" y="13328"/>
            <a:ext cx="160" cy="160"/>
          </a:xfrm>
          <a:custGeom>
            <a:avLst/>
            <a:gdLst/>
            <a:ahLst/>
            <a:cxnLst/>
            <a:rect l="l" t="t" r="r" b="b"/>
            <a:pathLst>
              <a:path w="15951" h="15964">
                <a:moveTo>
                  <a:pt x="7976" y="0"/>
                </a:moveTo>
                <a:cubicBezTo>
                  <a:pt x="10198" y="0"/>
                  <a:pt x="12091" y="774"/>
                  <a:pt x="13640" y="2311"/>
                </a:cubicBezTo>
                <a:cubicBezTo>
                  <a:pt x="15177" y="3861"/>
                  <a:pt x="15951" y="5741"/>
                  <a:pt x="15951" y="7975"/>
                </a:cubicBezTo>
                <a:cubicBezTo>
                  <a:pt x="15951" y="10160"/>
                  <a:pt x="15164" y="12040"/>
                  <a:pt x="13602" y="13601"/>
                </a:cubicBezTo>
                <a:cubicBezTo>
                  <a:pt x="12027" y="15163"/>
                  <a:pt x="10147" y="15964"/>
                  <a:pt x="7976" y="15964"/>
                </a:cubicBezTo>
                <a:cubicBezTo>
                  <a:pt x="5791" y="15964"/>
                  <a:pt x="3912" y="15163"/>
                  <a:pt x="2350" y="13601"/>
                </a:cubicBezTo>
                <a:cubicBezTo>
                  <a:pt x="775" y="12040"/>
                  <a:pt x="0" y="10160"/>
                  <a:pt x="0" y="7975"/>
                </a:cubicBezTo>
                <a:cubicBezTo>
                  <a:pt x="0" y="5741"/>
                  <a:pt x="762" y="3861"/>
                  <a:pt x="2299" y="2311"/>
                </a:cubicBezTo>
                <a:cubicBezTo>
                  <a:pt x="3848" y="774"/>
                  <a:pt x="5741" y="0"/>
                  <a:pt x="7976"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8" name="Freeform 58">
            <a:extLst>
              <a:ext uri="{FF2B5EF4-FFF2-40B4-BE49-F238E27FC236}">
                <a16:creationId xmlns:a16="http://schemas.microsoft.com/office/drawing/2014/main" id="{D70B5F03-547B-4F47-9BCF-4EBE5AEC2B45}"/>
              </a:ext>
            </a:extLst>
          </xdr:cNvPr>
          <xdr:cNvSpPr/>
        </xdr:nvSpPr>
        <xdr:spPr>
          <a:xfrm>
            <a:off x="20998" y="13686"/>
            <a:ext cx="345" cy="700"/>
          </a:xfrm>
          <a:custGeom>
            <a:avLst/>
            <a:gdLst/>
            <a:ahLst/>
            <a:cxnLst/>
            <a:rect l="l" t="t" r="r" b="b"/>
            <a:pathLst>
              <a:path w="34538" h="69956">
                <a:moveTo>
                  <a:pt x="34538" y="0"/>
                </a:moveTo>
                <a:lnTo>
                  <a:pt x="34538" y="4555"/>
                </a:lnTo>
                <a:lnTo>
                  <a:pt x="24282" y="16502"/>
                </a:lnTo>
                <a:cubicBezTo>
                  <a:pt x="17018" y="27564"/>
                  <a:pt x="13399" y="38143"/>
                  <a:pt x="13399" y="48252"/>
                </a:cubicBezTo>
                <a:cubicBezTo>
                  <a:pt x="13399" y="52240"/>
                  <a:pt x="14275" y="55288"/>
                  <a:pt x="16028" y="57383"/>
                </a:cubicBezTo>
                <a:cubicBezTo>
                  <a:pt x="17780" y="59491"/>
                  <a:pt x="19888" y="60533"/>
                  <a:pt x="22327" y="60533"/>
                </a:cubicBezTo>
                <a:cubicBezTo>
                  <a:pt x="25089" y="60533"/>
                  <a:pt x="28207" y="59037"/>
                  <a:pt x="31679" y="56047"/>
                </a:cubicBezTo>
                <a:lnTo>
                  <a:pt x="34538" y="52694"/>
                </a:lnTo>
                <a:lnTo>
                  <a:pt x="34538" y="58575"/>
                </a:lnTo>
                <a:lnTo>
                  <a:pt x="27584" y="65244"/>
                </a:lnTo>
                <a:cubicBezTo>
                  <a:pt x="23241" y="68369"/>
                  <a:pt x="19050" y="69956"/>
                  <a:pt x="15075" y="69956"/>
                </a:cubicBezTo>
                <a:cubicBezTo>
                  <a:pt x="11036" y="69956"/>
                  <a:pt x="7506" y="68153"/>
                  <a:pt x="4496" y="64558"/>
                </a:cubicBezTo>
                <a:cubicBezTo>
                  <a:pt x="1486" y="60977"/>
                  <a:pt x="0" y="56101"/>
                  <a:pt x="0" y="49928"/>
                </a:cubicBezTo>
                <a:cubicBezTo>
                  <a:pt x="0" y="42003"/>
                  <a:pt x="2515" y="33545"/>
                  <a:pt x="7582" y="24554"/>
                </a:cubicBezTo>
                <a:cubicBezTo>
                  <a:pt x="12624" y="15574"/>
                  <a:pt x="19304" y="8259"/>
                  <a:pt x="27584" y="2608"/>
                </a:cubicBezTo>
                <a:lnTo>
                  <a:pt x="34538"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59" name="Freeform 59">
            <a:extLst>
              <a:ext uri="{FF2B5EF4-FFF2-40B4-BE49-F238E27FC236}">
                <a16:creationId xmlns:a16="http://schemas.microsoft.com/office/drawing/2014/main" id="{E5A903F7-EA97-4EA4-B776-299514AC3496}"/>
              </a:ext>
            </a:extLst>
          </xdr:cNvPr>
          <xdr:cNvSpPr/>
        </xdr:nvSpPr>
        <xdr:spPr>
          <a:xfrm>
            <a:off x="21343" y="13233"/>
            <a:ext cx="507" cy="1153"/>
          </a:xfrm>
          <a:custGeom>
            <a:avLst/>
            <a:gdLst/>
            <a:ahLst/>
            <a:cxnLst/>
            <a:rect l="l" t="t" r="r" b="b"/>
            <a:pathLst>
              <a:path w="50730" h="115354">
                <a:moveTo>
                  <a:pt x="50730" y="0"/>
                </a:moveTo>
                <a:lnTo>
                  <a:pt x="23286" y="94120"/>
                </a:lnTo>
                <a:cubicBezTo>
                  <a:pt x="21800" y="99225"/>
                  <a:pt x="21063" y="102577"/>
                  <a:pt x="21063" y="104178"/>
                </a:cubicBezTo>
                <a:cubicBezTo>
                  <a:pt x="21063" y="104711"/>
                  <a:pt x="21292" y="105219"/>
                  <a:pt x="21736" y="105689"/>
                </a:cubicBezTo>
                <a:cubicBezTo>
                  <a:pt x="22193" y="106172"/>
                  <a:pt x="22651" y="106413"/>
                  <a:pt x="23133" y="106413"/>
                </a:cubicBezTo>
                <a:cubicBezTo>
                  <a:pt x="23832" y="106413"/>
                  <a:pt x="24644" y="106070"/>
                  <a:pt x="25597" y="105372"/>
                </a:cubicBezTo>
                <a:cubicBezTo>
                  <a:pt x="27413" y="104101"/>
                  <a:pt x="30436" y="100914"/>
                  <a:pt x="34703" y="95809"/>
                </a:cubicBezTo>
                <a:lnTo>
                  <a:pt x="37408" y="97472"/>
                </a:lnTo>
                <a:cubicBezTo>
                  <a:pt x="33585" y="102794"/>
                  <a:pt x="29724" y="107111"/>
                  <a:pt x="25800" y="110401"/>
                </a:cubicBezTo>
                <a:cubicBezTo>
                  <a:pt x="21901" y="113703"/>
                  <a:pt x="18244" y="115354"/>
                  <a:pt x="14827" y="115354"/>
                </a:cubicBezTo>
                <a:cubicBezTo>
                  <a:pt x="13024" y="115354"/>
                  <a:pt x="11538" y="114706"/>
                  <a:pt x="10370" y="113436"/>
                </a:cubicBezTo>
                <a:cubicBezTo>
                  <a:pt x="9201" y="112154"/>
                  <a:pt x="8617" y="110350"/>
                  <a:pt x="8617" y="108000"/>
                </a:cubicBezTo>
                <a:cubicBezTo>
                  <a:pt x="8617" y="104978"/>
                  <a:pt x="9404" y="100914"/>
                  <a:pt x="11005" y="95809"/>
                </a:cubicBezTo>
                <a:lnTo>
                  <a:pt x="14116" y="85916"/>
                </a:lnTo>
                <a:cubicBezTo>
                  <a:pt x="10262" y="91872"/>
                  <a:pt x="6579" y="96911"/>
                  <a:pt x="3067" y="101032"/>
                </a:cubicBezTo>
                <a:lnTo>
                  <a:pt x="0" y="103973"/>
                </a:lnTo>
                <a:lnTo>
                  <a:pt x="0" y="98091"/>
                </a:lnTo>
                <a:lnTo>
                  <a:pt x="8617" y="87985"/>
                </a:lnTo>
                <a:cubicBezTo>
                  <a:pt x="16961" y="76009"/>
                  <a:pt x="21139" y="65570"/>
                  <a:pt x="21139" y="56629"/>
                </a:cubicBezTo>
                <a:cubicBezTo>
                  <a:pt x="21139" y="53225"/>
                  <a:pt x="20149" y="50482"/>
                  <a:pt x="18180" y="48413"/>
                </a:cubicBezTo>
                <a:cubicBezTo>
                  <a:pt x="16212" y="46342"/>
                  <a:pt x="13722" y="45300"/>
                  <a:pt x="10687" y="45300"/>
                </a:cubicBezTo>
                <a:cubicBezTo>
                  <a:pt x="7341" y="45300"/>
                  <a:pt x="3921" y="46685"/>
                  <a:pt x="430" y="49452"/>
                </a:cubicBezTo>
                <a:lnTo>
                  <a:pt x="0" y="49953"/>
                </a:lnTo>
                <a:lnTo>
                  <a:pt x="0" y="45398"/>
                </a:lnTo>
                <a:lnTo>
                  <a:pt x="11094" y="41237"/>
                </a:lnTo>
                <a:cubicBezTo>
                  <a:pt x="13951" y="41237"/>
                  <a:pt x="16427" y="41821"/>
                  <a:pt x="18510" y="42990"/>
                </a:cubicBezTo>
                <a:cubicBezTo>
                  <a:pt x="20580" y="44158"/>
                  <a:pt x="22625" y="46101"/>
                  <a:pt x="24644" y="48819"/>
                </a:cubicBezTo>
                <a:lnTo>
                  <a:pt x="32468" y="21044"/>
                </a:lnTo>
                <a:cubicBezTo>
                  <a:pt x="33052" y="19088"/>
                  <a:pt x="33534" y="17513"/>
                  <a:pt x="33903" y="16345"/>
                </a:cubicBezTo>
                <a:cubicBezTo>
                  <a:pt x="34538" y="14224"/>
                  <a:pt x="34868" y="12471"/>
                  <a:pt x="34868" y="11087"/>
                </a:cubicBezTo>
                <a:cubicBezTo>
                  <a:pt x="34868" y="9957"/>
                  <a:pt x="34461" y="9042"/>
                  <a:pt x="33661" y="8280"/>
                </a:cubicBezTo>
                <a:cubicBezTo>
                  <a:pt x="32544" y="7391"/>
                  <a:pt x="31109" y="6934"/>
                  <a:pt x="29356" y="6934"/>
                </a:cubicBezTo>
                <a:cubicBezTo>
                  <a:pt x="28137" y="6934"/>
                  <a:pt x="26118" y="7124"/>
                  <a:pt x="23286" y="7493"/>
                </a:cubicBezTo>
                <a:lnTo>
                  <a:pt x="23286" y="4546"/>
                </a:lnTo>
                <a:lnTo>
                  <a:pt x="50730"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60" name="Freeform 60">
            <a:extLst>
              <a:ext uri="{FF2B5EF4-FFF2-40B4-BE49-F238E27FC236}">
                <a16:creationId xmlns:a16="http://schemas.microsoft.com/office/drawing/2014/main" id="{06573747-42C2-4240-8F9F-3065DEC4A9AB}"/>
              </a:ext>
            </a:extLst>
          </xdr:cNvPr>
          <xdr:cNvSpPr/>
        </xdr:nvSpPr>
        <xdr:spPr>
          <a:xfrm>
            <a:off x="21835" y="13688"/>
            <a:ext cx="343" cy="698"/>
          </a:xfrm>
          <a:custGeom>
            <a:avLst/>
            <a:gdLst/>
            <a:ahLst/>
            <a:cxnLst/>
            <a:rect l="l" t="t" r="r" b="b"/>
            <a:pathLst>
              <a:path w="34347" h="69814">
                <a:moveTo>
                  <a:pt x="34347" y="0"/>
                </a:moveTo>
                <a:lnTo>
                  <a:pt x="34347" y="5342"/>
                </a:lnTo>
                <a:lnTo>
                  <a:pt x="28359" y="8345"/>
                </a:lnTo>
                <a:cubicBezTo>
                  <a:pt x="22263" y="14111"/>
                  <a:pt x="17793" y="22645"/>
                  <a:pt x="14923" y="33910"/>
                </a:cubicBezTo>
                <a:cubicBezTo>
                  <a:pt x="22796" y="33009"/>
                  <a:pt x="29197" y="31459"/>
                  <a:pt x="34150" y="29287"/>
                </a:cubicBezTo>
                <a:lnTo>
                  <a:pt x="34347" y="29147"/>
                </a:lnTo>
                <a:lnTo>
                  <a:pt x="34347" y="33763"/>
                </a:lnTo>
                <a:lnTo>
                  <a:pt x="14364" y="37822"/>
                </a:lnTo>
                <a:cubicBezTo>
                  <a:pt x="13995" y="40489"/>
                  <a:pt x="13792" y="42686"/>
                  <a:pt x="13792" y="44452"/>
                </a:cubicBezTo>
                <a:cubicBezTo>
                  <a:pt x="13792" y="49176"/>
                  <a:pt x="15481" y="53201"/>
                  <a:pt x="18834" y="56529"/>
                </a:cubicBezTo>
                <a:cubicBezTo>
                  <a:pt x="22187" y="59844"/>
                  <a:pt x="26251" y="61507"/>
                  <a:pt x="31039" y="61507"/>
                </a:cubicBezTo>
                <a:lnTo>
                  <a:pt x="34347" y="60804"/>
                </a:lnTo>
                <a:lnTo>
                  <a:pt x="34347" y="66911"/>
                </a:lnTo>
                <a:lnTo>
                  <a:pt x="23457" y="69814"/>
                </a:lnTo>
                <a:cubicBezTo>
                  <a:pt x="15697" y="69814"/>
                  <a:pt x="9843" y="67362"/>
                  <a:pt x="5905" y="62460"/>
                </a:cubicBezTo>
                <a:cubicBezTo>
                  <a:pt x="1968" y="57570"/>
                  <a:pt x="0" y="52186"/>
                  <a:pt x="0" y="46280"/>
                </a:cubicBezTo>
                <a:cubicBezTo>
                  <a:pt x="0" y="38355"/>
                  <a:pt x="2438" y="30240"/>
                  <a:pt x="7341" y="21947"/>
                </a:cubicBezTo>
                <a:cubicBezTo>
                  <a:pt x="12230" y="13641"/>
                  <a:pt x="18377" y="7202"/>
                  <a:pt x="25768" y="2592"/>
                </a:cubicBezTo>
                <a:lnTo>
                  <a:pt x="34347"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61" name="Freeform 61">
            <a:extLst>
              <a:ext uri="{FF2B5EF4-FFF2-40B4-BE49-F238E27FC236}">
                <a16:creationId xmlns:a16="http://schemas.microsoft.com/office/drawing/2014/main" id="{74FCCD49-902F-4907-8062-78CA7E1C5E45}"/>
              </a:ext>
            </a:extLst>
          </xdr:cNvPr>
          <xdr:cNvSpPr/>
        </xdr:nvSpPr>
        <xdr:spPr>
          <a:xfrm>
            <a:off x="22178" y="14175"/>
            <a:ext cx="252" cy="182"/>
          </a:xfrm>
          <a:custGeom>
            <a:avLst/>
            <a:gdLst/>
            <a:ahLst/>
            <a:cxnLst/>
            <a:rect l="l" t="t" r="r" b="b"/>
            <a:pathLst>
              <a:path w="25165" h="18167">
                <a:moveTo>
                  <a:pt x="23489" y="0"/>
                </a:moveTo>
                <a:lnTo>
                  <a:pt x="25165" y="2311"/>
                </a:lnTo>
                <a:cubicBezTo>
                  <a:pt x="18866" y="8566"/>
                  <a:pt x="12710" y="13255"/>
                  <a:pt x="6699" y="16381"/>
                </a:cubicBezTo>
                <a:lnTo>
                  <a:pt x="0" y="18167"/>
                </a:lnTo>
                <a:lnTo>
                  <a:pt x="0" y="12059"/>
                </a:lnTo>
                <a:lnTo>
                  <a:pt x="7741" y="10413"/>
                </a:lnTo>
                <a:cubicBezTo>
                  <a:pt x="11271" y="8851"/>
                  <a:pt x="16529" y="5372"/>
                  <a:pt x="23489"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62" name="Freeform 62">
            <a:extLst>
              <a:ext uri="{FF2B5EF4-FFF2-40B4-BE49-F238E27FC236}">
                <a16:creationId xmlns:a16="http://schemas.microsoft.com/office/drawing/2014/main" id="{794AF2C9-E68C-4F82-BE3C-9DDC7F256ECD}"/>
              </a:ext>
            </a:extLst>
          </xdr:cNvPr>
          <xdr:cNvSpPr/>
        </xdr:nvSpPr>
        <xdr:spPr>
          <a:xfrm>
            <a:off x="22178" y="13645"/>
            <a:ext cx="308" cy="381"/>
          </a:xfrm>
          <a:custGeom>
            <a:avLst/>
            <a:gdLst/>
            <a:ahLst/>
            <a:cxnLst/>
            <a:rect l="l" t="t" r="r" b="b"/>
            <a:pathLst>
              <a:path w="30829" h="38066">
                <a:moveTo>
                  <a:pt x="14243" y="0"/>
                </a:moveTo>
                <a:cubicBezTo>
                  <a:pt x="19882" y="0"/>
                  <a:pt x="24048" y="1143"/>
                  <a:pt x="26765" y="3428"/>
                </a:cubicBezTo>
                <a:cubicBezTo>
                  <a:pt x="29483" y="5714"/>
                  <a:pt x="30829" y="8420"/>
                  <a:pt x="30829" y="11569"/>
                </a:cubicBezTo>
                <a:cubicBezTo>
                  <a:pt x="30829" y="15977"/>
                  <a:pt x="29077" y="20205"/>
                  <a:pt x="25572" y="24257"/>
                </a:cubicBezTo>
                <a:cubicBezTo>
                  <a:pt x="20936" y="29527"/>
                  <a:pt x="14129" y="33782"/>
                  <a:pt x="5150" y="37020"/>
                </a:cubicBezTo>
                <a:lnTo>
                  <a:pt x="0" y="38066"/>
                </a:lnTo>
                <a:lnTo>
                  <a:pt x="0" y="33450"/>
                </a:lnTo>
                <a:lnTo>
                  <a:pt x="14523" y="23089"/>
                </a:lnTo>
                <a:cubicBezTo>
                  <a:pt x="17786" y="19024"/>
                  <a:pt x="19425" y="15163"/>
                  <a:pt x="19425" y="11493"/>
                </a:cubicBezTo>
                <a:cubicBezTo>
                  <a:pt x="19425" y="9258"/>
                  <a:pt x="18714" y="7442"/>
                  <a:pt x="17304" y="6070"/>
                </a:cubicBezTo>
                <a:cubicBezTo>
                  <a:pt x="15907" y="4686"/>
                  <a:pt x="13900" y="3987"/>
                  <a:pt x="11284" y="3987"/>
                </a:cubicBezTo>
                <a:lnTo>
                  <a:pt x="0" y="9646"/>
                </a:lnTo>
                <a:lnTo>
                  <a:pt x="0" y="4304"/>
                </a:lnTo>
                <a:lnTo>
                  <a:pt x="14243" y="0"/>
                </a:ln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63" name="Freeform 63">
            <a:extLst>
              <a:ext uri="{FF2B5EF4-FFF2-40B4-BE49-F238E27FC236}">
                <a16:creationId xmlns:a16="http://schemas.microsoft.com/office/drawing/2014/main" id="{86372174-BA09-4921-9061-BFAFF3839D85}"/>
              </a:ext>
            </a:extLst>
          </xdr:cNvPr>
          <xdr:cNvSpPr/>
        </xdr:nvSpPr>
        <xdr:spPr>
          <a:xfrm>
            <a:off x="4392" y="0"/>
            <a:ext cx="12197" cy="12388"/>
          </a:xfrm>
          <a:custGeom>
            <a:avLst/>
            <a:gdLst/>
            <a:ahLst/>
            <a:cxnLst/>
            <a:rect l="l" t="t" r="r" b="b"/>
            <a:pathLst>
              <a:path w="1219683" h="1238834">
                <a:moveTo>
                  <a:pt x="619417" y="0"/>
                </a:moveTo>
                <a:cubicBezTo>
                  <a:pt x="891464" y="0"/>
                  <a:pt x="1135634" y="182295"/>
                  <a:pt x="1213180" y="443306"/>
                </a:cubicBezTo>
                <a:lnTo>
                  <a:pt x="1219683" y="465175"/>
                </a:lnTo>
                <a:lnTo>
                  <a:pt x="997344" y="465175"/>
                </a:lnTo>
                <a:lnTo>
                  <a:pt x="993280" y="453936"/>
                </a:lnTo>
                <a:cubicBezTo>
                  <a:pt x="922630" y="258546"/>
                  <a:pt x="735775" y="127267"/>
                  <a:pt x="528307" y="127267"/>
                </a:cubicBezTo>
                <a:cubicBezTo>
                  <a:pt x="514312" y="127267"/>
                  <a:pt x="500431" y="127838"/>
                  <a:pt x="486728" y="128968"/>
                </a:cubicBezTo>
                <a:cubicBezTo>
                  <a:pt x="487959" y="128956"/>
                  <a:pt x="489229" y="128956"/>
                  <a:pt x="490461" y="128956"/>
                </a:cubicBezTo>
                <a:cubicBezTo>
                  <a:pt x="690956" y="128956"/>
                  <a:pt x="874649" y="254749"/>
                  <a:pt x="947585" y="441972"/>
                </a:cubicBezTo>
                <a:lnTo>
                  <a:pt x="956628" y="465175"/>
                </a:lnTo>
                <a:lnTo>
                  <a:pt x="716585" y="465175"/>
                </a:lnTo>
                <a:lnTo>
                  <a:pt x="711772" y="456158"/>
                </a:lnTo>
                <a:cubicBezTo>
                  <a:pt x="648907" y="338175"/>
                  <a:pt x="527114" y="264871"/>
                  <a:pt x="393954" y="264871"/>
                </a:cubicBezTo>
                <a:cubicBezTo>
                  <a:pt x="196914" y="264871"/>
                  <a:pt x="35497" y="425183"/>
                  <a:pt x="34100" y="622223"/>
                </a:cubicBezTo>
                <a:cubicBezTo>
                  <a:pt x="34188" y="636473"/>
                  <a:pt x="34912" y="650760"/>
                  <a:pt x="36284" y="664566"/>
                </a:cubicBezTo>
                <a:cubicBezTo>
                  <a:pt x="56426" y="847089"/>
                  <a:pt x="210172" y="984707"/>
                  <a:pt x="393954" y="984707"/>
                </a:cubicBezTo>
                <a:cubicBezTo>
                  <a:pt x="531127" y="984707"/>
                  <a:pt x="654571" y="908190"/>
                  <a:pt x="716102" y="785025"/>
                </a:cubicBezTo>
                <a:lnTo>
                  <a:pt x="720801" y="775614"/>
                </a:lnTo>
                <a:lnTo>
                  <a:pt x="955980" y="775614"/>
                </a:lnTo>
                <a:lnTo>
                  <a:pt x="946798" y="798868"/>
                </a:lnTo>
                <a:cubicBezTo>
                  <a:pt x="872236" y="987806"/>
                  <a:pt x="693115" y="1109904"/>
                  <a:pt x="490461" y="1109904"/>
                </a:cubicBezTo>
                <a:cubicBezTo>
                  <a:pt x="470319" y="1109904"/>
                  <a:pt x="450329" y="1108545"/>
                  <a:pt x="430556" y="1106106"/>
                </a:cubicBezTo>
                <a:cubicBezTo>
                  <a:pt x="462178" y="1112456"/>
                  <a:pt x="494868" y="1115822"/>
                  <a:pt x="528307" y="1115822"/>
                </a:cubicBezTo>
                <a:cubicBezTo>
                  <a:pt x="736803" y="1115822"/>
                  <a:pt x="923963" y="983653"/>
                  <a:pt x="994042" y="786917"/>
                </a:cubicBezTo>
                <a:lnTo>
                  <a:pt x="998068" y="775614"/>
                </a:lnTo>
                <a:lnTo>
                  <a:pt x="1219213" y="775614"/>
                </a:lnTo>
                <a:lnTo>
                  <a:pt x="1212622" y="797534"/>
                </a:lnTo>
                <a:cubicBezTo>
                  <a:pt x="1134466" y="1057363"/>
                  <a:pt x="890537" y="1238834"/>
                  <a:pt x="619417" y="1238834"/>
                </a:cubicBezTo>
                <a:cubicBezTo>
                  <a:pt x="288531" y="1238834"/>
                  <a:pt x="16828" y="980122"/>
                  <a:pt x="775" y="649833"/>
                </a:cubicBezTo>
                <a:lnTo>
                  <a:pt x="775" y="649744"/>
                </a:lnTo>
                <a:lnTo>
                  <a:pt x="775" y="649681"/>
                </a:lnTo>
                <a:lnTo>
                  <a:pt x="635" y="646620"/>
                </a:lnTo>
                <a:cubicBezTo>
                  <a:pt x="203" y="638886"/>
                  <a:pt x="0" y="631710"/>
                  <a:pt x="0" y="624801"/>
                </a:cubicBezTo>
                <a:lnTo>
                  <a:pt x="38" y="623277"/>
                </a:lnTo>
                <a:lnTo>
                  <a:pt x="0" y="621246"/>
                </a:lnTo>
                <a:lnTo>
                  <a:pt x="25" y="620407"/>
                </a:lnTo>
                <a:lnTo>
                  <a:pt x="0" y="619416"/>
                </a:lnTo>
                <a:cubicBezTo>
                  <a:pt x="0" y="277875"/>
                  <a:pt x="277876" y="0"/>
                  <a:pt x="619417" y="0"/>
                </a:cubicBezTo>
                <a:close/>
              </a:path>
            </a:pathLst>
          </a:custGeom>
          <a:solidFill>
            <a:srgbClr val="49A83F"/>
          </a:solidFill>
          <a:ln>
            <a:noFill/>
          </a:ln>
        </xdr:spPr>
        <xdr:txBody>
          <a:bodyPr wrap="square">
            <a:prstTxWarp prst="textNoShape">
              <a:avLst/>
            </a:prstTxWarp>
          </a:bodyPr>
          <a:lstStyle/>
          <a:p>
            <a:endParaRPr lang="en-US" sz="1100"/>
          </a:p>
        </xdr:txBody>
      </xdr:sp>
      <xdr:sp macro="" textlink="">
        <xdr:nvSpPr>
          <xdr:cNvPr id="64" name="Freeform 64">
            <a:extLst>
              <a:ext uri="{FF2B5EF4-FFF2-40B4-BE49-F238E27FC236}">
                <a16:creationId xmlns:a16="http://schemas.microsoft.com/office/drawing/2014/main" id="{339F22CD-1EC4-4694-8D7E-B216178C9F0D}"/>
              </a:ext>
            </a:extLst>
          </xdr:cNvPr>
          <xdr:cNvSpPr/>
        </xdr:nvSpPr>
        <xdr:spPr>
          <a:xfrm>
            <a:off x="4615" y="6663"/>
            <a:ext cx="9116" cy="4265"/>
          </a:xfrm>
          <a:custGeom>
            <a:avLst/>
            <a:gdLst/>
            <a:ahLst/>
            <a:cxnLst/>
            <a:rect l="l" t="t" r="r" b="b"/>
            <a:pathLst>
              <a:path w="911606" h="426504">
                <a:moveTo>
                  <a:pt x="0" y="0"/>
                </a:moveTo>
                <a:cubicBezTo>
                  <a:pt x="20765" y="188328"/>
                  <a:pt x="180797" y="335356"/>
                  <a:pt x="374587" y="335356"/>
                </a:cubicBezTo>
                <a:cubicBezTo>
                  <a:pt x="522148" y="335356"/>
                  <a:pt x="650100" y="250075"/>
                  <a:pt x="711949" y="126250"/>
                </a:cubicBezTo>
                <a:lnTo>
                  <a:pt x="911606" y="126250"/>
                </a:lnTo>
                <a:cubicBezTo>
                  <a:pt x="842302" y="301866"/>
                  <a:pt x="671043" y="426504"/>
                  <a:pt x="471107" y="426504"/>
                </a:cubicBezTo>
                <a:cubicBezTo>
                  <a:pt x="225882" y="426504"/>
                  <a:pt x="23635" y="239103"/>
                  <a:pt x="0" y="0"/>
                </a:cubicBezTo>
                <a:close/>
              </a:path>
            </a:pathLst>
          </a:custGeom>
          <a:solidFill>
            <a:srgbClr val="EE792F"/>
          </a:solidFill>
          <a:ln>
            <a:noFill/>
          </a:ln>
        </xdr:spPr>
        <xdr:txBody>
          <a:bodyPr wrap="square">
            <a:prstTxWarp prst="textNoShape">
              <a:avLst/>
            </a:prstTxWarp>
          </a:bodyPr>
          <a:lstStyle/>
          <a:p>
            <a:endParaRPr lang="en-US" sz="1100"/>
          </a:p>
        </xdr:txBody>
      </xdr:sp>
      <xdr:sp macro="" textlink="">
        <xdr:nvSpPr>
          <xdr:cNvPr id="65" name="Freeform 65">
            <a:extLst>
              <a:ext uri="{FF2B5EF4-FFF2-40B4-BE49-F238E27FC236}">
                <a16:creationId xmlns:a16="http://schemas.microsoft.com/office/drawing/2014/main" id="{34203196-6BE9-47CF-9F05-F09477625A32}"/>
              </a:ext>
            </a:extLst>
          </xdr:cNvPr>
          <xdr:cNvSpPr/>
        </xdr:nvSpPr>
        <xdr:spPr>
          <a:xfrm>
            <a:off x="4592" y="170"/>
            <a:ext cx="11798" cy="6024"/>
          </a:xfrm>
          <a:custGeom>
            <a:avLst/>
            <a:gdLst/>
            <a:ahLst/>
            <a:cxnLst/>
            <a:rect l="l" t="t" r="r" b="b"/>
            <a:pathLst>
              <a:path w="1179856" h="602400">
                <a:moveTo>
                  <a:pt x="602399" y="0"/>
                </a:moveTo>
                <a:cubicBezTo>
                  <a:pt x="875068" y="0"/>
                  <a:pt x="1105878" y="182144"/>
                  <a:pt x="1179856" y="431127"/>
                </a:cubicBezTo>
                <a:lnTo>
                  <a:pt x="992276" y="431127"/>
                </a:lnTo>
                <a:cubicBezTo>
                  <a:pt x="921093" y="234290"/>
                  <a:pt x="732384" y="93218"/>
                  <a:pt x="511302" y="93218"/>
                </a:cubicBezTo>
                <a:cubicBezTo>
                  <a:pt x="246812" y="93218"/>
                  <a:pt x="28600" y="295085"/>
                  <a:pt x="2604" y="552844"/>
                </a:cubicBezTo>
                <a:cubicBezTo>
                  <a:pt x="27457" y="314985"/>
                  <a:pt x="229133" y="128943"/>
                  <a:pt x="473456" y="128943"/>
                </a:cubicBezTo>
                <a:cubicBezTo>
                  <a:pt x="674116" y="128943"/>
                  <a:pt x="845922" y="254495"/>
                  <a:pt x="914705" y="431127"/>
                </a:cubicBezTo>
                <a:lnTo>
                  <a:pt x="709778" y="431127"/>
                </a:lnTo>
                <a:cubicBezTo>
                  <a:pt x="646341" y="312077"/>
                  <a:pt x="520967" y="230836"/>
                  <a:pt x="376936" y="230836"/>
                </a:cubicBezTo>
                <a:cubicBezTo>
                  <a:pt x="170891" y="230836"/>
                  <a:pt x="3061" y="397040"/>
                  <a:pt x="152" y="602400"/>
                </a:cubicBezTo>
                <a:lnTo>
                  <a:pt x="0" y="602400"/>
                </a:lnTo>
                <a:cubicBezTo>
                  <a:pt x="0" y="270231"/>
                  <a:pt x="270243" y="0"/>
                  <a:pt x="602399" y="0"/>
                </a:cubicBezTo>
                <a:close/>
              </a:path>
            </a:pathLst>
          </a:custGeom>
          <a:solidFill>
            <a:srgbClr val="EE792F"/>
          </a:solidFill>
          <a:ln>
            <a:noFill/>
          </a:ln>
        </xdr:spPr>
        <xdr:txBody>
          <a:bodyPr wrap="square">
            <a:prstTxWarp prst="textNoShape">
              <a:avLst/>
            </a:prstTxWarp>
          </a:bodyPr>
          <a:lstStyle/>
          <a:p>
            <a:endParaRPr lang="en-US" sz="600"/>
          </a:p>
        </xdr:txBody>
      </xdr:sp>
      <xdr:sp macro="" textlink="">
        <xdr:nvSpPr>
          <xdr:cNvPr id="66" name="Freeform 66">
            <a:extLst>
              <a:ext uri="{FF2B5EF4-FFF2-40B4-BE49-F238E27FC236}">
                <a16:creationId xmlns:a16="http://schemas.microsoft.com/office/drawing/2014/main" id="{75862778-CFF9-4280-9EF1-A8057BE28BA7}"/>
              </a:ext>
            </a:extLst>
          </xdr:cNvPr>
          <xdr:cNvSpPr/>
        </xdr:nvSpPr>
        <xdr:spPr>
          <a:xfrm>
            <a:off x="4613" y="6676"/>
            <a:ext cx="11772" cy="5542"/>
          </a:xfrm>
          <a:custGeom>
            <a:avLst/>
            <a:gdLst/>
            <a:ahLst/>
            <a:cxnLst/>
            <a:rect l="l" t="t" r="r" b="b"/>
            <a:pathLst>
              <a:path w="1177188" h="554139">
                <a:moveTo>
                  <a:pt x="0" y="0"/>
                </a:moveTo>
                <a:lnTo>
                  <a:pt x="76" y="0"/>
                </a:lnTo>
                <a:cubicBezTo>
                  <a:pt x="23508" y="260388"/>
                  <a:pt x="242811" y="465151"/>
                  <a:pt x="509168" y="465151"/>
                </a:cubicBezTo>
                <a:cubicBezTo>
                  <a:pt x="731114" y="465151"/>
                  <a:pt x="920394" y="322974"/>
                  <a:pt x="990930" y="124943"/>
                </a:cubicBezTo>
                <a:lnTo>
                  <a:pt x="1177188" y="124943"/>
                </a:lnTo>
                <a:cubicBezTo>
                  <a:pt x="1102589" y="372935"/>
                  <a:pt x="872249" y="554139"/>
                  <a:pt x="600278" y="554139"/>
                </a:cubicBezTo>
                <a:cubicBezTo>
                  <a:pt x="284366" y="554139"/>
                  <a:pt x="24689" y="309677"/>
                  <a:pt x="0" y="0"/>
                </a:cubicBezTo>
                <a:close/>
              </a:path>
            </a:pathLst>
          </a:custGeom>
          <a:solidFill>
            <a:srgbClr val="EE792F"/>
          </a:solidFill>
          <a:ln>
            <a:noFill/>
          </a:ln>
        </xdr:spPr>
        <xdr:txBody>
          <a:bodyPr wrap="square">
            <a:prstTxWarp prst="textNoShape">
              <a:avLst/>
            </a:prstTxWarp>
          </a:bodyPr>
          <a:lstStyle/>
          <a:p>
            <a:endParaRPr lang="en-US" sz="800"/>
          </a:p>
        </xdr:txBody>
      </xdr:sp>
    </xdr:grp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opLeftCell="A14" zoomScale="90" zoomScaleNormal="90" workbookViewId="0">
      <selection activeCell="F4" sqref="F4"/>
    </sheetView>
  </sheetViews>
  <sheetFormatPr defaultRowHeight="14.25" x14ac:dyDescent="0.45"/>
  <cols>
    <col min="1" max="1" width="15.9296875" customWidth="1"/>
    <col min="2" max="2" width="19.06640625" customWidth="1"/>
    <col min="3" max="4" width="18.59765625" customWidth="1"/>
    <col min="5" max="5" width="16.59765625" customWidth="1"/>
    <col min="6" max="6" width="17.19921875" customWidth="1"/>
    <col min="7" max="7" width="19.53125" customWidth="1"/>
    <col min="8" max="8" width="22.06640625" customWidth="1"/>
    <col min="9" max="9" width="19.19921875" customWidth="1"/>
    <col min="10" max="11" width="17.19921875" customWidth="1"/>
    <col min="12" max="12" width="18.33203125" customWidth="1"/>
    <col min="13" max="13" width="17.9296875" customWidth="1"/>
    <col min="14" max="14" width="15.53125" customWidth="1"/>
  </cols>
  <sheetData>
    <row r="1" spans="1:15" ht="18" x14ac:dyDescent="0.55000000000000004">
      <c r="A1" s="8" t="s">
        <v>192</v>
      </c>
      <c r="B1" s="3"/>
      <c r="C1" s="1"/>
      <c r="D1" s="1"/>
      <c r="E1" s="1"/>
      <c r="F1" s="341"/>
      <c r="G1" s="1"/>
      <c r="H1" s="8" t="s">
        <v>78</v>
      </c>
    </row>
    <row r="2" spans="1:15" ht="15.75" x14ac:dyDescent="0.5">
      <c r="A2" s="7" t="s">
        <v>2</v>
      </c>
      <c r="B2" s="1"/>
      <c r="C2" s="1"/>
      <c r="D2" s="1"/>
      <c r="E2" s="1"/>
      <c r="G2" s="1"/>
    </row>
    <row r="3" spans="1:15" ht="15.75" x14ac:dyDescent="0.5">
      <c r="A3" s="3" t="s">
        <v>0</v>
      </c>
      <c r="B3" s="3" t="s">
        <v>1</v>
      </c>
      <c r="C3" s="320" t="s">
        <v>4</v>
      </c>
      <c r="D3" s="320" t="s">
        <v>3</v>
      </c>
      <c r="E3" s="3" t="s">
        <v>327</v>
      </c>
      <c r="F3" s="3" t="s">
        <v>259</v>
      </c>
      <c r="G3" s="3" t="s">
        <v>330</v>
      </c>
      <c r="H3" s="15" t="s">
        <v>2</v>
      </c>
    </row>
    <row r="4" spans="1:15" x14ac:dyDescent="0.45">
      <c r="A4" s="19">
        <v>71.400000000000006</v>
      </c>
      <c r="B4" s="19">
        <v>55.45</v>
      </c>
      <c r="C4" s="19">
        <f>B4+A4</f>
        <v>126.85000000000001</v>
      </c>
      <c r="D4" s="10">
        <v>172</v>
      </c>
      <c r="E4" s="10">
        <v>4.5</v>
      </c>
      <c r="F4" s="10">
        <f>D4*0.4</f>
        <v>68.8</v>
      </c>
      <c r="G4" s="10">
        <v>200</v>
      </c>
      <c r="H4" s="14"/>
      <c r="J4">
        <f>0.64+1.5+0.46</f>
        <v>2.6</v>
      </c>
    </row>
    <row r="5" spans="1:15" x14ac:dyDescent="0.45">
      <c r="A5" s="1">
        <v>167</v>
      </c>
      <c r="B5" s="1"/>
      <c r="C5" s="1"/>
      <c r="D5" s="1"/>
      <c r="E5" s="1"/>
      <c r="F5" s="1"/>
      <c r="G5" s="1"/>
      <c r="H5" s="16" t="s">
        <v>193</v>
      </c>
      <c r="I5" s="3" t="s">
        <v>194</v>
      </c>
      <c r="J5" s="3" t="s">
        <v>189</v>
      </c>
      <c r="K5" s="3" t="s">
        <v>195</v>
      </c>
      <c r="L5" s="3" t="s">
        <v>196</v>
      </c>
      <c r="M5" s="3" t="s">
        <v>197</v>
      </c>
      <c r="N5" s="3" t="s">
        <v>198</v>
      </c>
      <c r="O5" s="1"/>
    </row>
    <row r="6" spans="1:15" x14ac:dyDescent="0.45">
      <c r="A6" s="3" t="s">
        <v>189</v>
      </c>
      <c r="B6" s="3" t="s">
        <v>30</v>
      </c>
      <c r="C6" s="3" t="s">
        <v>152</v>
      </c>
      <c r="D6" s="3" t="s">
        <v>158</v>
      </c>
      <c r="E6" s="3" t="s">
        <v>159</v>
      </c>
      <c r="F6" s="3" t="s">
        <v>160</v>
      </c>
      <c r="G6" s="3" t="s">
        <v>161</v>
      </c>
      <c r="H6" s="321">
        <f>+D4+A4</f>
        <v>243.4</v>
      </c>
      <c r="I6" s="19">
        <f>C4</f>
        <v>126.85000000000001</v>
      </c>
      <c r="J6" s="19">
        <f>C4</f>
        <v>126.85000000000001</v>
      </c>
      <c r="K6" s="19">
        <f>C4*0.7*0.23</f>
        <v>20.42285</v>
      </c>
      <c r="L6" s="11">
        <f>A15/48</f>
        <v>269.36141304347825</v>
      </c>
      <c r="M6" s="4">
        <f>G7</f>
        <v>63.425000000000004</v>
      </c>
      <c r="N6" s="4">
        <f>D4*0.1</f>
        <v>17.2</v>
      </c>
      <c r="O6" s="1"/>
    </row>
    <row r="7" spans="1:15" x14ac:dyDescent="0.45">
      <c r="A7" s="5">
        <f>C4*0.7*0.6</f>
        <v>53.277000000000001</v>
      </c>
      <c r="B7" s="4">
        <f>D12+F12</f>
        <v>112.86855</v>
      </c>
      <c r="C7" s="4">
        <f>E12*3</f>
        <v>155.15217391304347</v>
      </c>
      <c r="D7" s="4">
        <f>D12+F12</f>
        <v>112.86855</v>
      </c>
      <c r="E7" s="19">
        <f>A4/15*3</f>
        <v>14.280000000000001</v>
      </c>
      <c r="F7" s="19">
        <f>B4/15*3</f>
        <v>11.09</v>
      </c>
      <c r="G7" s="11">
        <f>C4*0.5</f>
        <v>63.425000000000004</v>
      </c>
      <c r="H7" s="14"/>
      <c r="I7" s="1"/>
      <c r="J7" s="1"/>
      <c r="K7" s="1"/>
      <c r="L7" s="1"/>
      <c r="M7" s="1"/>
      <c r="N7" s="1"/>
      <c r="O7" s="1"/>
    </row>
    <row r="8" spans="1:15" x14ac:dyDescent="0.45">
      <c r="A8" s="1"/>
      <c r="B8" s="4">
        <f>B7*2/11</f>
        <v>20.521554545454546</v>
      </c>
      <c r="C8" s="4">
        <f>C7/8</f>
        <v>19.394021739130434</v>
      </c>
      <c r="D8" s="4">
        <f>D7*2/11</f>
        <v>20.521554545454546</v>
      </c>
      <c r="E8" s="1"/>
      <c r="F8" s="1"/>
      <c r="G8" s="1"/>
      <c r="H8" s="14"/>
      <c r="I8" s="1"/>
      <c r="J8" s="1"/>
      <c r="K8" s="1"/>
      <c r="L8" s="1"/>
      <c r="M8" s="1"/>
      <c r="N8" s="1"/>
      <c r="O8" s="1"/>
    </row>
    <row r="9" spans="1:15" x14ac:dyDescent="0.45">
      <c r="A9" s="1"/>
      <c r="B9" s="1"/>
      <c r="C9" s="1"/>
      <c r="D9" s="1"/>
      <c r="E9" s="1"/>
      <c r="F9" s="1"/>
      <c r="G9" s="1"/>
      <c r="H9" s="16" t="s">
        <v>85</v>
      </c>
      <c r="I9" s="1"/>
      <c r="J9" s="1"/>
      <c r="K9" s="1"/>
      <c r="L9" s="1"/>
      <c r="M9" s="1"/>
      <c r="N9" s="1"/>
      <c r="O9" s="1"/>
    </row>
    <row r="10" spans="1:15" x14ac:dyDescent="0.45">
      <c r="A10" s="3" t="s">
        <v>153</v>
      </c>
      <c r="B10" s="1">
        <f>1/0.085</f>
        <v>11.76470588235294</v>
      </c>
      <c r="C10" s="1"/>
      <c r="D10" s="3" t="s">
        <v>154</v>
      </c>
      <c r="E10" s="1"/>
      <c r="F10" s="1"/>
      <c r="G10" s="3" t="s">
        <v>162</v>
      </c>
      <c r="H10" s="14"/>
      <c r="I10" s="1"/>
      <c r="J10" s="1"/>
      <c r="K10" s="1"/>
      <c r="L10" s="1"/>
      <c r="M10" s="1"/>
      <c r="N10" s="1"/>
      <c r="O10" s="1"/>
    </row>
    <row r="11" spans="1:15" x14ac:dyDescent="0.45">
      <c r="A11" s="3" t="s">
        <v>150</v>
      </c>
      <c r="B11" s="3" t="s">
        <v>151</v>
      </c>
      <c r="C11" s="1"/>
      <c r="D11" s="3" t="s">
        <v>155</v>
      </c>
      <c r="E11" s="3" t="s">
        <v>156</v>
      </c>
      <c r="F11" s="3" t="s">
        <v>84</v>
      </c>
      <c r="G11" s="1"/>
      <c r="H11" s="16" t="s">
        <v>202</v>
      </c>
      <c r="I11" s="3" t="s">
        <v>203</v>
      </c>
      <c r="J11" s="3" t="s">
        <v>204</v>
      </c>
      <c r="K11" s="3" t="s">
        <v>89</v>
      </c>
      <c r="L11" s="3" t="s">
        <v>90</v>
      </c>
      <c r="M11" s="3" t="s">
        <v>205</v>
      </c>
      <c r="N11" s="3" t="s">
        <v>206</v>
      </c>
      <c r="O11" s="1"/>
    </row>
    <row r="12" spans="1:15" x14ac:dyDescent="0.45">
      <c r="A12" s="4">
        <f>A4/0.23*2*15</f>
        <v>9313.04347826087</v>
      </c>
      <c r="B12" s="4">
        <f>B4/0.23*15</f>
        <v>3616.304347826087</v>
      </c>
      <c r="C12" s="1"/>
      <c r="D12" s="11">
        <f>C4*0.23*0.7*3</f>
        <v>61.268550000000005</v>
      </c>
      <c r="E12" s="4">
        <f>A15/250</f>
        <v>51.717391304347821</v>
      </c>
      <c r="F12" s="4">
        <f>D4*0.1*3</f>
        <v>51.599999999999994</v>
      </c>
      <c r="G12" s="4">
        <f>D4/10</f>
        <v>17.2</v>
      </c>
      <c r="H12" s="17">
        <f>A25/48</f>
        <v>430.97826086956525</v>
      </c>
      <c r="I12" s="5">
        <f>A36/48</f>
        <v>138.63677536231884</v>
      </c>
      <c r="J12" s="5">
        <f>G22*3/11</f>
        <v>4.1204290909090906</v>
      </c>
      <c r="K12" s="1">
        <f>C4</f>
        <v>126.85000000000001</v>
      </c>
      <c r="L12" s="1">
        <f>(D45+E45+F54)*6</f>
        <v>730.86</v>
      </c>
      <c r="M12" s="10">
        <v>13</v>
      </c>
      <c r="N12" s="10">
        <f>C54+D54</f>
        <v>9</v>
      </c>
      <c r="O12" s="1"/>
    </row>
    <row r="13" spans="1:15" ht="17.55" customHeight="1" x14ac:dyDescent="0.45">
      <c r="A13" s="1"/>
      <c r="B13" s="1"/>
      <c r="C13" s="1"/>
      <c r="D13" s="1"/>
      <c r="E13" s="1"/>
      <c r="F13" s="1"/>
      <c r="G13" s="1"/>
      <c r="H13" s="14"/>
      <c r="I13" s="1"/>
      <c r="J13" s="1"/>
      <c r="K13" s="1"/>
      <c r="L13" s="1"/>
      <c r="M13" s="1"/>
      <c r="N13" s="1"/>
      <c r="O13" s="1"/>
    </row>
    <row r="14" spans="1:15" ht="18" customHeight="1" x14ac:dyDescent="0.45">
      <c r="A14" s="3" t="s">
        <v>334</v>
      </c>
      <c r="B14" s="3" t="s">
        <v>331</v>
      </c>
      <c r="C14" s="3" t="s">
        <v>332</v>
      </c>
      <c r="D14" s="3" t="s">
        <v>335</v>
      </c>
      <c r="E14" s="3"/>
      <c r="F14" s="3"/>
      <c r="G14" s="3" t="s">
        <v>333</v>
      </c>
      <c r="H14" s="16" t="s">
        <v>207</v>
      </c>
      <c r="I14" s="1"/>
      <c r="J14" s="1"/>
      <c r="K14" s="1"/>
      <c r="L14" s="4"/>
      <c r="M14" s="1"/>
      <c r="N14" s="1"/>
      <c r="O14" s="1"/>
    </row>
    <row r="15" spans="1:15" x14ac:dyDescent="0.45">
      <c r="A15" s="4">
        <f>A12+B12</f>
        <v>12929.347826086956</v>
      </c>
      <c r="B15" s="4">
        <f>A15/3000</f>
        <v>4.3097826086956523</v>
      </c>
      <c r="C15" s="4">
        <f>G15/100</f>
        <v>1.645859413043478</v>
      </c>
      <c r="D15" s="4"/>
      <c r="E15" s="4"/>
      <c r="F15" s="4"/>
      <c r="G15" s="4">
        <f>D12+E12+F12</f>
        <v>164.58594130434781</v>
      </c>
      <c r="H15" s="17">
        <f>A4*0.345</f>
        <v>24.632999999999999</v>
      </c>
      <c r="I15" s="1"/>
      <c r="J15" s="1"/>
      <c r="K15" s="1"/>
      <c r="L15" s="1"/>
      <c r="M15" s="1"/>
      <c r="N15" s="1"/>
      <c r="O15" s="1"/>
    </row>
    <row r="16" spans="1:15" x14ac:dyDescent="0.45">
      <c r="A16" s="4"/>
      <c r="B16" s="4">
        <f>G4*B15</f>
        <v>861.95652173913049</v>
      </c>
      <c r="C16" s="4">
        <f>C15*G4</f>
        <v>329.17188260869563</v>
      </c>
      <c r="D16" s="4">
        <f>B16+C16</f>
        <v>1191.1284043478261</v>
      </c>
      <c r="E16" s="4"/>
      <c r="F16" s="4"/>
      <c r="G16" s="4"/>
      <c r="H16" s="17"/>
      <c r="I16" s="1"/>
      <c r="J16" s="1"/>
      <c r="K16" s="1"/>
      <c r="L16" s="1"/>
      <c r="M16" s="1"/>
      <c r="N16" s="1"/>
      <c r="O16" s="1"/>
    </row>
    <row r="17" spans="1:15" x14ac:dyDescent="0.45">
      <c r="A17" s="1"/>
      <c r="C17" s="1"/>
      <c r="D17" s="1"/>
      <c r="E17" s="1"/>
      <c r="F17" s="1"/>
      <c r="G17" s="1"/>
      <c r="H17" s="14"/>
      <c r="I17" s="1"/>
      <c r="J17" s="1"/>
      <c r="K17" s="1"/>
      <c r="L17" s="1"/>
      <c r="M17" s="1"/>
      <c r="N17" s="1"/>
      <c r="O17" s="1"/>
    </row>
    <row r="18" spans="1:15" ht="18" x14ac:dyDescent="0.55000000000000004">
      <c r="A18" s="8" t="s">
        <v>163</v>
      </c>
      <c r="B18" s="7" t="s">
        <v>85</v>
      </c>
      <c r="C18" s="1"/>
      <c r="D18" s="1"/>
      <c r="E18" s="1"/>
      <c r="F18" s="1"/>
      <c r="G18" s="1"/>
      <c r="H18" s="14"/>
      <c r="I18" s="1"/>
      <c r="J18" s="1"/>
      <c r="K18" s="1"/>
      <c r="L18" s="1"/>
      <c r="M18" s="1"/>
      <c r="N18" s="1"/>
      <c r="O18" s="1"/>
    </row>
    <row r="19" spans="1:15" x14ac:dyDescent="0.45">
      <c r="A19" s="1"/>
      <c r="B19" s="1"/>
      <c r="C19" s="1"/>
      <c r="D19" s="1"/>
      <c r="E19" s="1"/>
      <c r="F19" s="1"/>
      <c r="G19" s="1"/>
      <c r="H19" s="16" t="s">
        <v>92</v>
      </c>
      <c r="I19" s="1"/>
      <c r="J19" s="1"/>
      <c r="K19" s="1"/>
      <c r="L19" s="1"/>
      <c r="M19" s="1"/>
      <c r="N19" s="1"/>
      <c r="O19" s="1"/>
    </row>
    <row r="20" spans="1:15" x14ac:dyDescent="0.45">
      <c r="A20" s="3" t="s">
        <v>199</v>
      </c>
      <c r="B20" s="1">
        <f>2.1/0.085</f>
        <v>24.705882352941178</v>
      </c>
      <c r="C20" s="1"/>
      <c r="D20" s="3" t="s">
        <v>154</v>
      </c>
      <c r="E20" s="1"/>
      <c r="F20" s="1"/>
      <c r="G20" s="1"/>
      <c r="H20" s="14"/>
      <c r="I20" s="1"/>
      <c r="J20" s="1"/>
      <c r="K20" s="1"/>
      <c r="L20" s="1"/>
      <c r="M20" s="1"/>
      <c r="N20" s="1"/>
      <c r="O20" s="1"/>
    </row>
    <row r="21" spans="1:15" x14ac:dyDescent="0.45">
      <c r="A21" s="3" t="s">
        <v>150</v>
      </c>
      <c r="B21" s="3" t="s">
        <v>151</v>
      </c>
      <c r="C21" s="1"/>
      <c r="D21" s="3" t="s">
        <v>156</v>
      </c>
      <c r="E21" s="3" t="s">
        <v>165</v>
      </c>
      <c r="F21" s="3" t="s">
        <v>166</v>
      </c>
      <c r="G21" s="3" t="s">
        <v>164</v>
      </c>
      <c r="H21" s="16" t="s">
        <v>165</v>
      </c>
      <c r="I21" s="3" t="s">
        <v>166</v>
      </c>
      <c r="J21" s="3" t="s">
        <v>167</v>
      </c>
      <c r="K21" s="1"/>
      <c r="L21" s="1"/>
      <c r="M21" s="1"/>
      <c r="N21" s="1"/>
      <c r="O21" s="1"/>
    </row>
    <row r="22" spans="1:15" x14ac:dyDescent="0.45">
      <c r="A22" s="4">
        <f>A4/0.23*2*24</f>
        <v>14900.869565217392</v>
      </c>
      <c r="B22" s="4">
        <f>B4/0.23*24</f>
        <v>5786.086956521739</v>
      </c>
      <c r="C22" s="1" t="s">
        <v>5</v>
      </c>
      <c r="D22" s="4">
        <f>A25/250</f>
        <v>82.747826086956522</v>
      </c>
      <c r="E22" s="4">
        <f>F25/7</f>
        <v>56.614906832298139</v>
      </c>
      <c r="F22" s="4">
        <f>E25/8</f>
        <v>19.40217391304348</v>
      </c>
      <c r="G22" s="4">
        <f>A4*0.23*0.23*4</f>
        <v>15.10824</v>
      </c>
      <c r="H22" s="18">
        <f>F25+F36</f>
        <v>518.36050724637687</v>
      </c>
      <c r="I22" s="4">
        <f>E25+E36</f>
        <v>206.95652173913047</v>
      </c>
      <c r="J22" s="1">
        <f>D4</f>
        <v>172</v>
      </c>
      <c r="K22" s="1"/>
      <c r="L22" s="1"/>
      <c r="M22" s="1"/>
      <c r="N22" s="1"/>
      <c r="O22" s="1"/>
    </row>
    <row r="23" spans="1:15" x14ac:dyDescent="0.45">
      <c r="A23" s="1"/>
      <c r="B23" s="1"/>
      <c r="C23" s="1"/>
      <c r="D23" s="1"/>
      <c r="E23" s="1"/>
      <c r="F23" s="1"/>
      <c r="G23" s="1"/>
      <c r="H23" s="14"/>
      <c r="I23" s="1"/>
      <c r="J23" s="1"/>
      <c r="K23" s="1"/>
      <c r="L23" s="1"/>
      <c r="M23" s="1"/>
      <c r="N23" s="1"/>
      <c r="O23" s="1"/>
    </row>
    <row r="24" spans="1:15" x14ac:dyDescent="0.45">
      <c r="A24" s="3" t="s">
        <v>157</v>
      </c>
      <c r="B24" s="1"/>
      <c r="C24" s="1"/>
      <c r="D24" s="3" t="s">
        <v>167</v>
      </c>
      <c r="E24" s="3" t="s">
        <v>185</v>
      </c>
      <c r="F24" s="3" t="s">
        <v>184</v>
      </c>
      <c r="G24" s="3"/>
      <c r="H24" s="16"/>
      <c r="I24" s="1"/>
      <c r="J24" s="1"/>
      <c r="K24" s="1"/>
      <c r="L24" s="1"/>
      <c r="M24" s="1"/>
      <c r="N24" s="1"/>
      <c r="O24" s="1"/>
    </row>
    <row r="25" spans="1:15" x14ac:dyDescent="0.45">
      <c r="A25" s="4">
        <f>A22+B22</f>
        <v>20686.956521739132</v>
      </c>
      <c r="B25" s="1"/>
      <c r="C25" s="1"/>
      <c r="D25" s="4">
        <f>D4*0.05*8</f>
        <v>68.8</v>
      </c>
      <c r="E25" s="4">
        <f>A22/48/2</f>
        <v>155.21739130434784</v>
      </c>
      <c r="F25" s="4">
        <f>B22/48*2+E25</f>
        <v>396.304347826087</v>
      </c>
      <c r="G25" s="1"/>
      <c r="H25" s="14"/>
      <c r="I25" s="1"/>
      <c r="J25" s="1"/>
      <c r="K25" s="1"/>
      <c r="L25" s="1"/>
      <c r="M25" s="1"/>
      <c r="N25" s="1"/>
      <c r="O25" s="1"/>
    </row>
    <row r="26" spans="1:15" x14ac:dyDescent="0.45">
      <c r="A26" s="4"/>
      <c r="B26" s="1"/>
      <c r="C26" s="1"/>
      <c r="D26" s="4"/>
      <c r="E26" s="4"/>
      <c r="F26" s="4"/>
      <c r="G26" s="1"/>
      <c r="H26" s="14"/>
      <c r="I26" s="1"/>
      <c r="J26" s="1"/>
      <c r="K26" s="1"/>
      <c r="L26" s="1"/>
      <c r="M26" s="1"/>
      <c r="N26" s="1"/>
      <c r="O26" s="1"/>
    </row>
    <row r="27" spans="1:15" x14ac:dyDescent="0.45">
      <c r="A27" s="3" t="s">
        <v>331</v>
      </c>
      <c r="B27" s="3" t="s">
        <v>332</v>
      </c>
      <c r="C27" s="3" t="s">
        <v>335</v>
      </c>
      <c r="D27" s="4"/>
      <c r="E27" s="4"/>
      <c r="F27" s="4"/>
      <c r="G27" s="3" t="s">
        <v>333</v>
      </c>
      <c r="H27" s="14"/>
      <c r="I27" s="1"/>
      <c r="J27" s="1"/>
      <c r="K27" s="1"/>
      <c r="L27" s="1"/>
      <c r="M27" s="1"/>
      <c r="N27" s="1"/>
      <c r="O27" s="1"/>
    </row>
    <row r="28" spans="1:15" x14ac:dyDescent="0.45">
      <c r="A28" s="343">
        <f>A25/3000</f>
        <v>6.8956521739130441</v>
      </c>
      <c r="B28" s="4">
        <f>G28/100</f>
        <v>2.4267314683229815</v>
      </c>
      <c r="C28" s="4">
        <f>A28+B28</f>
        <v>9.3223836422360264</v>
      </c>
      <c r="D28" s="4"/>
      <c r="E28" s="4"/>
      <c r="F28" s="4"/>
      <c r="G28" s="4">
        <f>D22+E22+F22+G22+D25</f>
        <v>242.67314683229813</v>
      </c>
      <c r="H28" s="14"/>
      <c r="I28" s="1"/>
      <c r="J28" s="1"/>
      <c r="K28" s="1"/>
      <c r="L28" s="1"/>
      <c r="M28" s="1"/>
      <c r="N28" s="1"/>
      <c r="O28" s="1"/>
    </row>
    <row r="29" spans="1:15" x14ac:dyDescent="0.45">
      <c r="A29" s="4">
        <f>A28*G4</f>
        <v>1379.1304347826087</v>
      </c>
      <c r="B29" s="4">
        <f>G4*B28</f>
        <v>485.34629366459632</v>
      </c>
      <c r="C29" s="4">
        <f>A29+B29+C40</f>
        <v>2526.8465835196689</v>
      </c>
      <c r="D29" s="4"/>
      <c r="E29" s="4"/>
      <c r="F29" s="4"/>
      <c r="G29" s="1"/>
      <c r="H29" s="14"/>
      <c r="I29" s="1"/>
      <c r="J29" s="1"/>
      <c r="K29" s="1"/>
      <c r="L29" s="1"/>
      <c r="M29" s="1"/>
      <c r="N29" s="1"/>
      <c r="O29" s="1"/>
    </row>
    <row r="30" spans="1:15" x14ac:dyDescent="0.45">
      <c r="A30" s="4"/>
      <c r="B30" s="1"/>
      <c r="C30" s="1"/>
      <c r="D30" s="4"/>
      <c r="E30" s="4"/>
      <c r="F30" s="4"/>
      <c r="G30" s="1"/>
      <c r="H30" s="14"/>
      <c r="I30" s="1"/>
      <c r="J30" s="1"/>
      <c r="K30" s="1"/>
      <c r="L30" s="1"/>
      <c r="M30" s="1"/>
      <c r="N30" s="1"/>
      <c r="O30" s="1"/>
    </row>
    <row r="31" spans="1:15" x14ac:dyDescent="0.45">
      <c r="A31" s="3" t="s">
        <v>200</v>
      </c>
      <c r="B31" s="1">
        <f>0.6/0.085</f>
        <v>7.0588235294117636</v>
      </c>
      <c r="C31" s="1"/>
      <c r="D31" s="3" t="s">
        <v>154</v>
      </c>
      <c r="E31" s="1"/>
      <c r="F31" s="1"/>
      <c r="G31" s="4"/>
      <c r="H31" s="14"/>
      <c r="I31" s="1"/>
      <c r="J31" s="1"/>
      <c r="K31" s="1"/>
      <c r="L31" s="1"/>
      <c r="M31" s="1"/>
      <c r="N31" s="1"/>
      <c r="O31" s="1"/>
    </row>
    <row r="32" spans="1:15" x14ac:dyDescent="0.45">
      <c r="A32" s="3" t="s">
        <v>150</v>
      </c>
      <c r="B32" s="3" t="s">
        <v>151</v>
      </c>
      <c r="C32" s="1"/>
      <c r="D32" s="3" t="s">
        <v>156</v>
      </c>
      <c r="E32" s="3" t="s">
        <v>165</v>
      </c>
      <c r="F32" s="3" t="s">
        <v>166</v>
      </c>
      <c r="G32" s="1"/>
      <c r="H32" s="14"/>
      <c r="I32" s="1"/>
      <c r="J32" s="1"/>
      <c r="K32" s="1"/>
      <c r="L32" s="1"/>
      <c r="M32" s="1"/>
      <c r="N32" s="1"/>
      <c r="O32" s="1"/>
    </row>
    <row r="33" spans="1:15" x14ac:dyDescent="0.45">
      <c r="A33" s="4">
        <f>A4/0.23*2*8</f>
        <v>4966.9565217391309</v>
      </c>
      <c r="B33" s="4">
        <f>B4/0.23*7</f>
        <v>1687.608695652174</v>
      </c>
      <c r="C33" s="1"/>
      <c r="D33" s="4">
        <f>A36/250</f>
        <v>26.618260869565219</v>
      </c>
      <c r="E33" s="4">
        <f>F36/8</f>
        <v>15.257019927536234</v>
      </c>
      <c r="F33" s="4">
        <f>E36/6</f>
        <v>8.6231884057971033</v>
      </c>
      <c r="G33" s="1"/>
      <c r="H33" s="14"/>
      <c r="I33" s="1"/>
      <c r="J33" s="1"/>
      <c r="K33" s="1"/>
      <c r="L33" s="1"/>
      <c r="M33" s="1"/>
      <c r="N33" s="1"/>
      <c r="O33" s="1"/>
    </row>
    <row r="34" spans="1:15" x14ac:dyDescent="0.45">
      <c r="A34" s="4"/>
      <c r="B34" s="1"/>
      <c r="C34" s="1"/>
      <c r="D34" s="4"/>
      <c r="E34" s="4"/>
      <c r="F34" s="4"/>
      <c r="G34" s="1"/>
      <c r="H34" s="14"/>
      <c r="I34" s="4"/>
      <c r="J34" s="1"/>
      <c r="K34" s="1"/>
      <c r="L34" s="1"/>
      <c r="M34" s="1"/>
      <c r="N34" s="1"/>
      <c r="O34" s="1"/>
    </row>
    <row r="35" spans="1:15" x14ac:dyDescent="0.45">
      <c r="A35" s="3" t="s">
        <v>157</v>
      </c>
      <c r="B35" s="3" t="s">
        <v>201</v>
      </c>
      <c r="C35" s="1"/>
      <c r="D35" s="4"/>
      <c r="E35" s="3" t="s">
        <v>185</v>
      </c>
      <c r="F35" s="3" t="s">
        <v>184</v>
      </c>
      <c r="G35" s="1"/>
      <c r="H35" s="14"/>
      <c r="I35" s="1"/>
      <c r="J35" s="1"/>
      <c r="K35" s="1"/>
      <c r="L35" s="1"/>
      <c r="M35" s="1"/>
      <c r="N35" s="1"/>
      <c r="O35" s="1"/>
    </row>
    <row r="36" spans="1:15" x14ac:dyDescent="0.45">
      <c r="A36" s="4">
        <f>A33+B33</f>
        <v>6654.5652173913049</v>
      </c>
      <c r="B36" s="4">
        <f>D22+D33</f>
        <v>109.36608695652174</v>
      </c>
      <c r="C36" s="1"/>
      <c r="D36" s="4"/>
      <c r="E36" s="4">
        <f>A33/48/2</f>
        <v>51.739130434782616</v>
      </c>
      <c r="F36" s="4">
        <f>B33/48*2+E36</f>
        <v>122.05615942028987</v>
      </c>
      <c r="G36" s="1"/>
      <c r="H36" s="14"/>
      <c r="I36" s="1"/>
      <c r="J36" s="1"/>
      <c r="K36" s="1"/>
      <c r="L36" s="1"/>
      <c r="M36" s="1"/>
      <c r="N36" s="1"/>
      <c r="O36" s="1"/>
    </row>
    <row r="37" spans="1:15" x14ac:dyDescent="0.45">
      <c r="A37" s="4"/>
      <c r="B37" s="4"/>
      <c r="C37" s="1"/>
      <c r="D37" s="4"/>
      <c r="E37" s="4"/>
      <c r="F37" s="4"/>
      <c r="G37" s="1"/>
      <c r="H37" s="14"/>
      <c r="I37" s="1"/>
      <c r="J37" s="1"/>
      <c r="K37" s="1"/>
      <c r="L37" s="1"/>
      <c r="M37" s="1"/>
      <c r="N37" s="1"/>
      <c r="O37" s="1"/>
    </row>
    <row r="38" spans="1:15" x14ac:dyDescent="0.45">
      <c r="A38" s="3" t="s">
        <v>331</v>
      </c>
      <c r="B38" s="3" t="s">
        <v>332</v>
      </c>
      <c r="C38" s="3" t="s">
        <v>335</v>
      </c>
      <c r="D38" s="4"/>
      <c r="E38" s="4"/>
      <c r="F38" s="4"/>
      <c r="G38" s="1"/>
      <c r="H38" s="14"/>
      <c r="I38" s="1"/>
      <c r="J38" s="1"/>
      <c r="K38" s="1"/>
      <c r="L38" s="1"/>
      <c r="M38" s="1"/>
      <c r="N38" s="1"/>
      <c r="O38" s="1"/>
    </row>
    <row r="39" spans="1:15" x14ac:dyDescent="0.45">
      <c r="A39" s="4">
        <f>A36/3000</f>
        <v>2.2181884057971017</v>
      </c>
      <c r="B39" s="4">
        <f>B36/100</f>
        <v>1.0936608695652175</v>
      </c>
      <c r="C39" s="4">
        <f>A39*B39</f>
        <v>2.4259458607435418</v>
      </c>
      <c r="D39" s="4"/>
      <c r="E39" s="4"/>
      <c r="F39" s="4"/>
      <c r="G39" s="1"/>
      <c r="H39" s="14"/>
      <c r="I39" s="1"/>
      <c r="J39" s="1"/>
      <c r="K39" s="1"/>
      <c r="L39" s="1"/>
      <c r="M39" s="1"/>
      <c r="N39" s="1"/>
      <c r="O39" s="1"/>
    </row>
    <row r="40" spans="1:15" x14ac:dyDescent="0.45">
      <c r="A40" s="4">
        <f>G4*A39</f>
        <v>443.63768115942037</v>
      </c>
      <c r="B40" s="4">
        <f>G4*B39</f>
        <v>218.73217391304348</v>
      </c>
      <c r="C40" s="4">
        <f>A40+B40</f>
        <v>662.36985507246391</v>
      </c>
      <c r="D40" s="4"/>
      <c r="E40" s="4"/>
      <c r="F40" s="4"/>
      <c r="G40" s="1"/>
      <c r="H40" s="14"/>
      <c r="I40" s="1"/>
      <c r="J40" s="1"/>
      <c r="K40" s="1"/>
      <c r="L40" s="1"/>
      <c r="M40" s="1"/>
      <c r="N40" s="1"/>
      <c r="O40" s="1"/>
    </row>
    <row r="41" spans="1:15" x14ac:dyDescent="0.45">
      <c r="A41" s="1"/>
      <c r="B41" s="1"/>
      <c r="C41" s="1"/>
      <c r="D41" s="1"/>
      <c r="E41" s="1"/>
      <c r="F41" s="1"/>
      <c r="G41" s="1"/>
      <c r="H41" s="14"/>
      <c r="I41" s="1"/>
      <c r="J41" s="1"/>
      <c r="K41" s="1"/>
      <c r="L41" s="1"/>
      <c r="M41" s="1"/>
      <c r="N41" s="1"/>
      <c r="O41" s="1"/>
    </row>
    <row r="42" spans="1:15" x14ac:dyDescent="0.45">
      <c r="A42" s="3" t="s">
        <v>168</v>
      </c>
      <c r="B42" s="1"/>
      <c r="C42" s="1"/>
      <c r="D42" s="1"/>
      <c r="E42" s="1"/>
      <c r="F42" s="1"/>
      <c r="G42" s="1"/>
      <c r="H42" s="14"/>
      <c r="I42" s="1"/>
      <c r="J42" s="1"/>
      <c r="K42" s="1"/>
      <c r="L42" s="1"/>
      <c r="M42" s="1"/>
      <c r="N42" s="1"/>
      <c r="O42" s="1"/>
    </row>
    <row r="43" spans="1:15" x14ac:dyDescent="0.45">
      <c r="A43" s="3" t="s">
        <v>183</v>
      </c>
      <c r="B43" s="1"/>
      <c r="C43" s="1"/>
      <c r="D43" s="1"/>
      <c r="E43" s="1"/>
      <c r="F43" s="1"/>
      <c r="G43" s="1"/>
      <c r="H43" s="14"/>
      <c r="I43" s="1"/>
      <c r="J43" s="1"/>
      <c r="K43" s="1"/>
      <c r="L43" s="1"/>
      <c r="M43" s="1"/>
      <c r="N43" s="1"/>
      <c r="O43" s="1"/>
    </row>
    <row r="44" spans="1:15" x14ac:dyDescent="0.45">
      <c r="A44" s="3" t="s">
        <v>30</v>
      </c>
      <c r="B44" s="3" t="s">
        <v>152</v>
      </c>
      <c r="C44" s="3" t="s">
        <v>158</v>
      </c>
      <c r="D44" s="3" t="s">
        <v>170</v>
      </c>
      <c r="E44" s="3" t="s">
        <v>171</v>
      </c>
      <c r="F44" s="3" t="s">
        <v>172</v>
      </c>
      <c r="G44" s="3" t="s">
        <v>173</v>
      </c>
      <c r="H44" s="14"/>
      <c r="I44" s="1"/>
      <c r="J44" s="1"/>
      <c r="K44" s="1"/>
      <c r="L44" s="1"/>
      <c r="M44" s="1"/>
      <c r="N44" s="1"/>
      <c r="O44" s="1"/>
    </row>
    <row r="45" spans="1:15" x14ac:dyDescent="0.45">
      <c r="A45" s="12">
        <f>G22*2/11</f>
        <v>2.7469527272727272</v>
      </c>
      <c r="B45" s="4">
        <f>B36*3/11</f>
        <v>29.827114624505931</v>
      </c>
      <c r="C45" s="4">
        <f>G22*2/11</f>
        <v>2.7469527272727272</v>
      </c>
      <c r="D45" s="4">
        <f>A4/5*4</f>
        <v>57.120000000000005</v>
      </c>
      <c r="E45" s="4">
        <f>(A4/0.2)*0.85/5</f>
        <v>60.69</v>
      </c>
      <c r="F45" s="4">
        <f>A4/15*8</f>
        <v>38.080000000000005</v>
      </c>
      <c r="G45" s="4">
        <f>B4/15*8</f>
        <v>29.573333333333334</v>
      </c>
      <c r="H45" s="14"/>
      <c r="I45" s="1"/>
      <c r="J45" s="1"/>
      <c r="K45" s="1"/>
      <c r="L45" s="1"/>
      <c r="M45" s="1"/>
      <c r="N45" s="1"/>
      <c r="O45" s="1"/>
    </row>
    <row r="46" spans="1:15" x14ac:dyDescent="0.45">
      <c r="A46" s="3"/>
      <c r="B46" s="1"/>
      <c r="C46" s="1"/>
      <c r="D46" s="1"/>
      <c r="E46" s="1"/>
      <c r="F46" s="1"/>
      <c r="G46" s="1"/>
      <c r="H46" s="14"/>
      <c r="I46" s="1"/>
      <c r="J46" s="1"/>
      <c r="K46" s="1"/>
      <c r="L46" s="1"/>
      <c r="M46" s="1"/>
      <c r="N46" s="1"/>
      <c r="O46" s="1"/>
    </row>
    <row r="47" spans="1:15" x14ac:dyDescent="0.45">
      <c r="A47" s="3"/>
      <c r="B47" s="1"/>
      <c r="C47" s="1"/>
      <c r="D47" s="3" t="s">
        <v>326</v>
      </c>
      <c r="E47" s="1"/>
      <c r="F47" s="1"/>
      <c r="G47" s="1"/>
      <c r="H47" s="14"/>
      <c r="I47" s="1"/>
      <c r="J47" s="1"/>
      <c r="K47" s="1"/>
      <c r="L47" s="1"/>
      <c r="M47" s="1"/>
      <c r="N47" s="1"/>
      <c r="O47" s="1"/>
    </row>
    <row r="48" spans="1:15" x14ac:dyDescent="0.45">
      <c r="A48" s="3"/>
      <c r="B48" s="1"/>
      <c r="C48" s="1"/>
      <c r="D48" s="12">
        <f>E4/5*4</f>
        <v>3.6</v>
      </c>
      <c r="E48" s="1"/>
      <c r="F48" s="1"/>
      <c r="G48" s="1"/>
      <c r="H48" s="14"/>
      <c r="I48" s="1"/>
      <c r="J48" s="1"/>
      <c r="K48" s="1"/>
      <c r="L48" s="1"/>
      <c r="M48" s="1"/>
      <c r="N48" s="1"/>
      <c r="O48" s="1"/>
    </row>
    <row r="49" spans="1:15" x14ac:dyDescent="0.45">
      <c r="A49" s="3" t="s">
        <v>92</v>
      </c>
      <c r="B49" s="1"/>
      <c r="C49" s="1"/>
      <c r="D49" s="1"/>
      <c r="E49" s="1"/>
      <c r="F49" s="1"/>
      <c r="G49" s="1"/>
      <c r="H49" s="14"/>
      <c r="I49" s="1"/>
      <c r="J49" s="1"/>
      <c r="K49" s="1"/>
      <c r="L49" s="1"/>
      <c r="M49" s="1"/>
      <c r="N49" s="1"/>
      <c r="O49" s="1"/>
    </row>
    <row r="50" spans="1:15" x14ac:dyDescent="0.45">
      <c r="A50" s="3" t="s">
        <v>209</v>
      </c>
      <c r="B50" s="3" t="s">
        <v>169</v>
      </c>
      <c r="C50" s="3" t="s">
        <v>208</v>
      </c>
      <c r="D50" s="3" t="s">
        <v>210</v>
      </c>
      <c r="E50" s="3"/>
      <c r="F50" s="12"/>
      <c r="G50" s="3"/>
      <c r="H50" s="14"/>
      <c r="I50" s="1"/>
      <c r="J50" s="1"/>
      <c r="K50" s="1"/>
      <c r="L50" s="1"/>
      <c r="M50" s="1"/>
      <c r="N50" s="1"/>
      <c r="O50" s="1"/>
    </row>
    <row r="51" spans="1:15" x14ac:dyDescent="0.45">
      <c r="A51" s="4">
        <f>E22+E33</f>
        <v>71.871926759834366</v>
      </c>
      <c r="B51" s="4">
        <f>F25/15</f>
        <v>26.420289855072465</v>
      </c>
      <c r="C51" s="4">
        <f>D25*3/11</f>
        <v>18.763636363636362</v>
      </c>
      <c r="D51" s="4">
        <f>F22+F33</f>
        <v>28.025362318840585</v>
      </c>
      <c r="E51" s="1"/>
      <c r="F51" s="1"/>
      <c r="G51" s="1"/>
      <c r="H51" s="14"/>
      <c r="I51" s="1"/>
      <c r="J51" s="1"/>
      <c r="K51" s="1"/>
      <c r="L51" s="1"/>
      <c r="M51" s="1"/>
      <c r="N51" s="1"/>
      <c r="O51" s="1"/>
    </row>
    <row r="52" spans="1:15" x14ac:dyDescent="0.45">
      <c r="A52" s="6">
        <f>A51*3/8</f>
        <v>26.951972534937887</v>
      </c>
      <c r="B52" s="1"/>
      <c r="C52" s="1"/>
      <c r="D52" s="4">
        <f>D51*3/8</f>
        <v>10.509510869565219</v>
      </c>
      <c r="E52" s="1"/>
      <c r="F52" s="1"/>
      <c r="G52" s="1"/>
      <c r="H52" s="14"/>
      <c r="I52" s="1"/>
      <c r="J52" s="1"/>
      <c r="K52" s="1"/>
      <c r="L52" s="1"/>
      <c r="M52" s="1"/>
      <c r="N52" s="1"/>
      <c r="O52" s="1"/>
    </row>
    <row r="53" spans="1:15" x14ac:dyDescent="0.45">
      <c r="A53" s="3" t="s">
        <v>175</v>
      </c>
      <c r="B53" s="3" t="s">
        <v>174</v>
      </c>
      <c r="C53" s="3" t="s">
        <v>176</v>
      </c>
      <c r="D53" s="3" t="s">
        <v>177</v>
      </c>
      <c r="E53" s="3" t="s">
        <v>187</v>
      </c>
      <c r="F53" s="3" t="s">
        <v>186</v>
      </c>
      <c r="G53" s="3"/>
      <c r="H53" s="14"/>
      <c r="I53" s="1"/>
      <c r="J53" s="1"/>
      <c r="K53" s="1"/>
      <c r="L53" s="1"/>
      <c r="M53" s="1"/>
      <c r="N53" s="1"/>
      <c r="O53" s="1"/>
    </row>
    <row r="54" spans="1:15" x14ac:dyDescent="0.45">
      <c r="A54" s="4">
        <f>B4/15</f>
        <v>3.6966666666666668</v>
      </c>
      <c r="B54" s="4">
        <f>A4/15</f>
        <v>4.7600000000000007</v>
      </c>
      <c r="C54" s="10">
        <v>1</v>
      </c>
      <c r="D54" s="10">
        <v>8</v>
      </c>
      <c r="E54" s="1">
        <f>D45/5</f>
        <v>11.424000000000001</v>
      </c>
      <c r="F54" s="4">
        <f>D54/0.2*0.6/6</f>
        <v>4</v>
      </c>
      <c r="G54" s="4"/>
      <c r="H54" s="14"/>
      <c r="I54" s="1"/>
      <c r="J54" s="1"/>
      <c r="K54" s="1"/>
      <c r="L54" s="1"/>
      <c r="M54" s="1"/>
      <c r="N54" s="1"/>
      <c r="O54" s="1"/>
    </row>
    <row r="55" spans="1:15" x14ac:dyDescent="0.45">
      <c r="A55" s="1"/>
      <c r="B55" s="1"/>
      <c r="C55" s="1"/>
      <c r="D55" s="1"/>
      <c r="E55" s="1"/>
      <c r="F55" s="1"/>
      <c r="G55" s="1"/>
      <c r="H55" s="14"/>
      <c r="I55" s="1"/>
      <c r="J55" s="1"/>
      <c r="K55" s="1"/>
      <c r="L55" s="1"/>
      <c r="M55" s="1"/>
      <c r="N55" s="1"/>
      <c r="O55" s="1"/>
    </row>
    <row r="56" spans="1:15" x14ac:dyDescent="0.45">
      <c r="A56" s="3" t="s">
        <v>178</v>
      </c>
      <c r="B56" s="1"/>
      <c r="C56" s="1"/>
      <c r="D56" s="1"/>
      <c r="E56" s="1"/>
      <c r="F56" s="1"/>
      <c r="G56" s="1"/>
      <c r="H56" s="14"/>
      <c r="I56" s="1"/>
      <c r="J56" s="1"/>
      <c r="K56" s="1"/>
      <c r="L56" s="1"/>
      <c r="M56" s="1"/>
      <c r="N56" s="1"/>
      <c r="O56" s="1"/>
    </row>
    <row r="57" spans="1:15" x14ac:dyDescent="0.45">
      <c r="A57" s="3" t="s">
        <v>179</v>
      </c>
      <c r="B57" s="3" t="s">
        <v>180</v>
      </c>
      <c r="C57" s="3" t="s">
        <v>181</v>
      </c>
      <c r="D57" s="9" t="s">
        <v>60</v>
      </c>
      <c r="E57" s="9" t="s">
        <v>61</v>
      </c>
      <c r="F57" s="9" t="s">
        <v>182</v>
      </c>
      <c r="G57" s="9" t="s">
        <v>63</v>
      </c>
      <c r="H57" s="14"/>
      <c r="I57" s="1"/>
      <c r="J57" s="1"/>
      <c r="K57" s="1"/>
      <c r="L57" s="1"/>
      <c r="M57" s="1"/>
      <c r="N57" s="1"/>
      <c r="O57" s="1"/>
    </row>
    <row r="58" spans="1:15" x14ac:dyDescent="0.45">
      <c r="A58" s="1"/>
      <c r="B58" s="1"/>
      <c r="C58" s="1"/>
      <c r="D58" s="1"/>
      <c r="E58" s="1"/>
      <c r="F58" s="1"/>
      <c r="G58" s="1"/>
      <c r="H58" s="14"/>
      <c r="I58" s="1"/>
      <c r="J58" s="1"/>
      <c r="K58" s="1"/>
      <c r="L58" s="1"/>
      <c r="M58" s="1"/>
      <c r="N58" s="1"/>
      <c r="O58" s="1"/>
    </row>
    <row r="59" spans="1:15" x14ac:dyDescent="0.45">
      <c r="A59" s="1"/>
      <c r="B59" s="1"/>
      <c r="C59" s="1"/>
      <c r="D59" s="1"/>
      <c r="E59" s="1"/>
      <c r="F59" s="1"/>
      <c r="G59" s="1"/>
      <c r="H59" s="14"/>
      <c r="I59" s="1"/>
      <c r="J59" s="1"/>
      <c r="K59" s="1"/>
      <c r="L59" s="1"/>
      <c r="M59" s="1"/>
      <c r="N59" s="1"/>
      <c r="O59" s="1"/>
    </row>
    <row r="60" spans="1:15" x14ac:dyDescent="0.45">
      <c r="A60" s="2" t="s">
        <v>64</v>
      </c>
      <c r="B60" s="2" t="s">
        <v>65</v>
      </c>
      <c r="C60" s="13" t="s">
        <v>66</v>
      </c>
      <c r="D60" s="9" t="s">
        <v>68</v>
      </c>
      <c r="E60" s="342" t="s">
        <v>69</v>
      </c>
      <c r="F60" s="2" t="s">
        <v>70</v>
      </c>
      <c r="G60" s="13" t="s">
        <v>71</v>
      </c>
      <c r="H60" s="14"/>
      <c r="I60" s="1"/>
      <c r="J60" s="1"/>
      <c r="K60" s="1"/>
      <c r="L60" s="1"/>
      <c r="M60" s="1"/>
      <c r="N60" s="1"/>
      <c r="O60" s="1"/>
    </row>
    <row r="61" spans="1:15" x14ac:dyDescent="0.45">
      <c r="A61" s="1"/>
      <c r="B61" s="1"/>
      <c r="C61" s="1"/>
      <c r="D61" s="1"/>
      <c r="E61" s="1"/>
      <c r="F61" s="1"/>
      <c r="G61" s="1"/>
      <c r="H61" s="14"/>
      <c r="I61" s="1"/>
      <c r="J61" s="1"/>
      <c r="K61" s="1"/>
      <c r="L61" s="1"/>
      <c r="M61" s="1"/>
      <c r="N61" s="1"/>
      <c r="O61" s="1"/>
    </row>
    <row r="62" spans="1:15" x14ac:dyDescent="0.45">
      <c r="A62" s="1"/>
      <c r="B62" s="1"/>
      <c r="C62" s="1"/>
      <c r="D62" s="1"/>
      <c r="E62" s="1"/>
      <c r="F62" s="1"/>
      <c r="G62" s="1"/>
      <c r="H62" s="14"/>
      <c r="I62" s="1"/>
      <c r="J62" s="1"/>
      <c r="K62" s="1"/>
      <c r="L62" s="1"/>
      <c r="M62" s="1"/>
      <c r="N62" s="1"/>
      <c r="O62" s="1"/>
    </row>
    <row r="63" spans="1:15" x14ac:dyDescent="0.45">
      <c r="A63" s="2" t="s">
        <v>72</v>
      </c>
      <c r="B63" s="2" t="s">
        <v>73</v>
      </c>
      <c r="C63" s="13" t="s">
        <v>74</v>
      </c>
      <c r="D63" s="1"/>
      <c r="E63" s="1"/>
      <c r="F63" s="1"/>
      <c r="G63" s="1"/>
      <c r="H63" s="14"/>
      <c r="I63" s="1"/>
      <c r="J63" s="1"/>
      <c r="K63" s="1"/>
      <c r="L63" s="1"/>
      <c r="M63" s="1"/>
      <c r="N63" s="1"/>
      <c r="O63" s="1"/>
    </row>
    <row r="64" spans="1:15" x14ac:dyDescent="0.45">
      <c r="A64" s="1"/>
      <c r="B64" s="1"/>
      <c r="C64" s="1"/>
      <c r="D64" s="1"/>
      <c r="E64" s="1"/>
      <c r="F64" s="1"/>
      <c r="G64" s="1"/>
      <c r="H64" s="14"/>
      <c r="I64" s="1"/>
      <c r="J64" s="1"/>
      <c r="K64" s="1"/>
      <c r="L64" s="1"/>
      <c r="M64" s="1"/>
      <c r="N64" s="1"/>
      <c r="O64" s="1"/>
    </row>
    <row r="65" spans="1:15" x14ac:dyDescent="0.45">
      <c r="A65" s="1"/>
      <c r="B65" s="1"/>
      <c r="C65" s="1"/>
      <c r="D65" s="1"/>
      <c r="E65" s="1"/>
      <c r="F65" s="1"/>
      <c r="G65" s="1"/>
      <c r="H65" s="14"/>
      <c r="I65" s="1"/>
      <c r="J65" s="1"/>
      <c r="K65" s="1"/>
      <c r="L65" s="1"/>
      <c r="M65" s="1"/>
      <c r="N65" s="1"/>
      <c r="O65" s="1"/>
    </row>
    <row r="66" spans="1:15" x14ac:dyDescent="0.45">
      <c r="A66" s="1"/>
      <c r="B66" s="1"/>
      <c r="C66" s="1"/>
      <c r="D66" s="1"/>
      <c r="E66" s="1"/>
      <c r="F66" s="1"/>
      <c r="G66" s="1"/>
      <c r="H66" s="14"/>
      <c r="I66" s="1"/>
      <c r="J66" s="1"/>
      <c r="K66" s="1"/>
      <c r="L66" s="1"/>
      <c r="M66" s="1"/>
      <c r="N66" s="1"/>
      <c r="O66" s="1"/>
    </row>
    <row r="67" spans="1:15" x14ac:dyDescent="0.45">
      <c r="A67" s="1"/>
      <c r="B67" s="1"/>
      <c r="C67" s="1"/>
      <c r="D67" s="1"/>
      <c r="E67" s="1"/>
      <c r="F67" s="1"/>
      <c r="G67" s="1"/>
      <c r="H67" s="14"/>
      <c r="I67" s="1"/>
      <c r="J67" s="1"/>
      <c r="K67" s="1"/>
      <c r="L67" s="1"/>
      <c r="M67" s="1"/>
      <c r="N67" s="1"/>
      <c r="O67" s="1"/>
    </row>
    <row r="68" spans="1:15" x14ac:dyDescent="0.45">
      <c r="A68" t="s">
        <v>261</v>
      </c>
      <c r="B68" t="s">
        <v>260</v>
      </c>
      <c r="E68" t="s">
        <v>264</v>
      </c>
      <c r="F68" t="s">
        <v>260</v>
      </c>
      <c r="H68" s="14"/>
      <c r="I68" s="1"/>
      <c r="J68" s="1"/>
      <c r="K68" s="1"/>
      <c r="L68" s="1"/>
      <c r="M68" s="1"/>
      <c r="N68" s="1"/>
      <c r="O68" s="1"/>
    </row>
    <row r="69" spans="1:15" x14ac:dyDescent="0.45">
      <c r="B69" t="s">
        <v>262</v>
      </c>
      <c r="C69">
        <f>7+7</f>
        <v>14</v>
      </c>
      <c r="F69" t="s">
        <v>262</v>
      </c>
      <c r="G69">
        <v>4</v>
      </c>
      <c r="H69" s="1"/>
      <c r="I69" s="1"/>
      <c r="J69" s="1"/>
      <c r="K69" s="1"/>
      <c r="L69" s="1"/>
      <c r="M69" s="1"/>
      <c r="N69" s="1"/>
      <c r="O69" s="1"/>
    </row>
    <row r="70" spans="1:15" x14ac:dyDescent="0.45">
      <c r="F70" t="s">
        <v>263</v>
      </c>
      <c r="G70">
        <v>15</v>
      </c>
      <c r="H70" s="1"/>
      <c r="I70" s="1"/>
      <c r="J70" s="1"/>
      <c r="K70" s="1"/>
      <c r="L70" s="1"/>
      <c r="M70" s="1"/>
      <c r="N70" s="1"/>
      <c r="O70" s="1"/>
    </row>
    <row r="71" spans="1:15" x14ac:dyDescent="0.45">
      <c r="H71" s="1"/>
      <c r="I71" s="1"/>
      <c r="J71" s="1"/>
      <c r="K71" s="1"/>
      <c r="L71" s="1"/>
      <c r="M71" s="1"/>
      <c r="N71" s="1"/>
      <c r="O71"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P579"/>
  <sheetViews>
    <sheetView tabSelected="1" topLeftCell="B50" zoomScaleNormal="100" workbookViewId="0">
      <selection activeCell="E55" sqref="E55"/>
    </sheetView>
  </sheetViews>
  <sheetFormatPr defaultColWidth="12.53125" defaultRowHeight="17.649999999999999" x14ac:dyDescent="0.5"/>
  <cols>
    <col min="1" max="1" width="1.33203125" style="31" customWidth="1"/>
    <col min="2" max="2" width="4.53125" style="28" customWidth="1"/>
    <col min="3" max="3" width="42.9296875" style="30" customWidth="1"/>
    <col min="4" max="4" width="6.53125" style="28" customWidth="1"/>
    <col min="5" max="5" width="7.796875" style="29" customWidth="1"/>
    <col min="6" max="6" width="11.06640625" style="64" customWidth="1"/>
    <col min="7" max="7" width="15.796875" style="30" customWidth="1"/>
    <col min="8" max="8" width="9.59765625" style="31" customWidth="1"/>
    <col min="9" max="9" width="6.53125" style="333" customWidth="1"/>
    <col min="10" max="10" width="7.59765625" style="31" customWidth="1"/>
    <col min="11" max="11" width="16.06640625" style="322" customWidth="1"/>
    <col min="12" max="12" width="18.19921875" style="29" customWidth="1"/>
    <col min="13" max="13" width="14.59765625" style="31" customWidth="1"/>
    <col min="14" max="224" width="7.9296875" style="31" customWidth="1"/>
    <col min="225" max="16384" width="12.53125" style="31"/>
  </cols>
  <sheetData>
    <row r="1" spans="1:7" ht="18" thickTop="1" x14ac:dyDescent="0.5">
      <c r="B1" s="127"/>
      <c r="C1" s="130"/>
      <c r="D1" s="128"/>
      <c r="E1" s="129"/>
      <c r="F1" s="224"/>
      <c r="G1" s="185"/>
    </row>
    <row r="2" spans="1:7" x14ac:dyDescent="0.5">
      <c r="B2" s="131"/>
      <c r="D2" s="134"/>
      <c r="F2" s="133"/>
      <c r="G2" s="186"/>
    </row>
    <row r="3" spans="1:7" x14ac:dyDescent="0.5">
      <c r="A3" s="27"/>
      <c r="B3" s="131"/>
      <c r="D3" s="134"/>
      <c r="F3" s="133"/>
      <c r="G3" s="186"/>
    </row>
    <row r="4" spans="1:7" x14ac:dyDescent="0.5">
      <c r="A4" s="27"/>
      <c r="B4" s="131"/>
      <c r="C4" s="28"/>
      <c r="D4" s="132"/>
      <c r="F4" s="133"/>
      <c r="G4" s="186"/>
    </row>
    <row r="5" spans="1:7" x14ac:dyDescent="0.5">
      <c r="A5" s="27"/>
      <c r="B5" s="131"/>
      <c r="C5" s="28"/>
      <c r="D5" s="132"/>
      <c r="F5" s="133"/>
      <c r="G5" s="186"/>
    </row>
    <row r="6" spans="1:7" x14ac:dyDescent="0.5">
      <c r="A6" s="27"/>
      <c r="B6" s="131"/>
      <c r="C6" s="28"/>
      <c r="D6" s="132"/>
      <c r="F6" s="133"/>
      <c r="G6" s="186"/>
    </row>
    <row r="7" spans="1:7" x14ac:dyDescent="0.5">
      <c r="A7" s="27"/>
      <c r="B7" s="131"/>
      <c r="C7" s="28"/>
      <c r="D7" s="132"/>
      <c r="F7" s="133"/>
      <c r="G7" s="186"/>
    </row>
    <row r="8" spans="1:7" x14ac:dyDescent="0.5">
      <c r="A8" s="27"/>
      <c r="B8" s="131"/>
      <c r="C8" s="28"/>
      <c r="D8" s="27" t="s">
        <v>5</v>
      </c>
      <c r="F8" s="133"/>
      <c r="G8" s="186"/>
    </row>
    <row r="9" spans="1:7" x14ac:dyDescent="0.5">
      <c r="A9" s="27"/>
      <c r="B9" s="131"/>
      <c r="C9" s="28"/>
      <c r="D9" s="132"/>
      <c r="F9" s="133"/>
      <c r="G9" s="186"/>
    </row>
    <row r="10" spans="1:7" x14ac:dyDescent="0.5">
      <c r="A10" s="27"/>
      <c r="B10" s="386" t="s">
        <v>299</v>
      </c>
      <c r="C10" s="387"/>
      <c r="D10" s="134"/>
      <c r="F10" s="133"/>
      <c r="G10" s="186"/>
    </row>
    <row r="11" spans="1:7" x14ac:dyDescent="0.5">
      <c r="A11" s="27"/>
      <c r="B11" s="386" t="s">
        <v>300</v>
      </c>
      <c r="C11" s="387"/>
      <c r="D11" s="134"/>
      <c r="F11" s="133"/>
      <c r="G11" s="186"/>
    </row>
    <row r="12" spans="1:7" ht="19.899999999999999" x14ac:dyDescent="0.45">
      <c r="A12" s="27"/>
      <c r="B12" s="135"/>
      <c r="C12" s="136"/>
      <c r="D12" s="136"/>
      <c r="E12" s="126" t="s">
        <v>280</v>
      </c>
      <c r="F12" s="126"/>
      <c r="G12" s="145"/>
    </row>
    <row r="13" spans="1:7" ht="15.4" x14ac:dyDescent="0.45">
      <c r="A13" s="27"/>
      <c r="B13" s="137"/>
      <c r="C13" s="138"/>
      <c r="D13" s="138"/>
      <c r="E13" s="277"/>
      <c r="F13" s="139"/>
      <c r="G13" s="187"/>
    </row>
    <row r="14" spans="1:7" ht="15.4" x14ac:dyDescent="0.45">
      <c r="A14" s="27"/>
      <c r="B14" s="388" t="s">
        <v>281</v>
      </c>
      <c r="C14" s="389"/>
      <c r="D14" s="139"/>
      <c r="E14" s="278" t="s">
        <v>282</v>
      </c>
      <c r="F14" s="279"/>
      <c r="G14" s="280" t="s">
        <v>283</v>
      </c>
    </row>
    <row r="15" spans="1:7" ht="15.4" x14ac:dyDescent="0.45">
      <c r="A15" s="27"/>
      <c r="B15" s="390" t="s">
        <v>317</v>
      </c>
      <c r="C15" s="391"/>
      <c r="D15" s="139"/>
      <c r="E15" s="392" t="s">
        <v>292</v>
      </c>
      <c r="F15" s="393"/>
      <c r="G15" s="281">
        <v>45204</v>
      </c>
    </row>
    <row r="16" spans="1:7" ht="15.4" x14ac:dyDescent="0.45">
      <c r="A16" s="27"/>
      <c r="B16" s="394" t="s">
        <v>318</v>
      </c>
      <c r="C16" s="395"/>
      <c r="D16" s="139"/>
      <c r="E16" s="278" t="s">
        <v>284</v>
      </c>
      <c r="F16" s="279"/>
      <c r="G16" s="280" t="s">
        <v>285</v>
      </c>
    </row>
    <row r="17" spans="1:224" ht="15.4" x14ac:dyDescent="0.45">
      <c r="A17" s="27"/>
      <c r="B17" s="394" t="s">
        <v>319</v>
      </c>
      <c r="C17" s="395"/>
      <c r="D17" s="139"/>
      <c r="E17" s="392" t="s">
        <v>293</v>
      </c>
      <c r="F17" s="393"/>
      <c r="G17" s="282">
        <f>G15+30</f>
        <v>45234</v>
      </c>
    </row>
    <row r="18" spans="1:224" ht="15.4" x14ac:dyDescent="0.45">
      <c r="A18" s="27"/>
      <c r="B18" s="396" t="s">
        <v>298</v>
      </c>
      <c r="C18" s="397"/>
      <c r="D18" s="134"/>
      <c r="E18" s="28"/>
      <c r="F18" s="283"/>
      <c r="G18" s="187"/>
    </row>
    <row r="19" spans="1:224" ht="17.25" x14ac:dyDescent="0.45">
      <c r="A19" s="27"/>
      <c r="B19" s="140"/>
      <c r="C19" s="141"/>
      <c r="D19" s="142"/>
      <c r="E19" s="143"/>
      <c r="F19" s="144"/>
      <c r="G19" s="188"/>
    </row>
    <row r="20" spans="1:224" x14ac:dyDescent="0.5">
      <c r="A20" s="27"/>
      <c r="B20" s="398" t="s">
        <v>6</v>
      </c>
      <c r="C20" s="399"/>
      <c r="F20" s="133"/>
      <c r="G20" s="189"/>
    </row>
    <row r="21" spans="1:224" ht="19.899999999999999" x14ac:dyDescent="0.5">
      <c r="A21" s="27"/>
      <c r="B21" s="366" t="s">
        <v>7</v>
      </c>
      <c r="C21" s="367"/>
      <c r="F21" s="133"/>
      <c r="G21" s="189"/>
      <c r="H21" s="126"/>
    </row>
    <row r="22" spans="1:224" ht="17.25" x14ac:dyDescent="0.45">
      <c r="A22" s="27"/>
      <c r="B22" s="285" t="s">
        <v>8</v>
      </c>
      <c r="C22" s="286" t="s">
        <v>240</v>
      </c>
      <c r="D22" s="287" t="s">
        <v>9</v>
      </c>
      <c r="E22" s="288" t="s">
        <v>10</v>
      </c>
      <c r="F22" s="289" t="s">
        <v>11</v>
      </c>
      <c r="G22" s="290" t="s">
        <v>12</v>
      </c>
    </row>
    <row r="23" spans="1:224" x14ac:dyDescent="0.5">
      <c r="A23" s="27"/>
      <c r="B23" s="146"/>
      <c r="C23" s="21"/>
      <c r="D23" s="46"/>
      <c r="E23" s="22"/>
      <c r="F23" s="23"/>
      <c r="G23" s="190"/>
    </row>
    <row r="24" spans="1:224" x14ac:dyDescent="0.5">
      <c r="A24" s="27"/>
      <c r="B24" s="146"/>
      <c r="C24" s="37" t="s">
        <v>13</v>
      </c>
      <c r="D24" s="46"/>
      <c r="E24" s="22"/>
      <c r="F24" s="23"/>
      <c r="G24" s="190"/>
    </row>
    <row r="25" spans="1:224" ht="46.15" customHeight="1" x14ac:dyDescent="0.5">
      <c r="A25" s="27"/>
      <c r="B25" s="226"/>
      <c r="C25" s="20" t="s">
        <v>14</v>
      </c>
      <c r="D25" s="227"/>
      <c r="E25" s="227"/>
      <c r="F25" s="228"/>
      <c r="G25" s="190" t="s">
        <v>5</v>
      </c>
    </row>
    <row r="26" spans="1:224" x14ac:dyDescent="0.5">
      <c r="A26" s="27"/>
      <c r="B26" s="226"/>
      <c r="C26" s="20"/>
      <c r="D26" s="227"/>
      <c r="E26" s="227"/>
      <c r="F26" s="228"/>
      <c r="G26" s="190"/>
    </row>
    <row r="27" spans="1:224" x14ac:dyDescent="0.5">
      <c r="A27" s="27"/>
      <c r="B27" s="226">
        <v>1</v>
      </c>
      <c r="C27" s="21" t="s">
        <v>268</v>
      </c>
      <c r="D27" s="227" t="s">
        <v>15</v>
      </c>
      <c r="E27" s="229">
        <f>'Take Off'!A15</f>
        <v>12929.347826086956</v>
      </c>
      <c r="F27" s="228">
        <v>0.16</v>
      </c>
      <c r="G27" s="190">
        <f>F27*E27</f>
        <v>2068.695652173913</v>
      </c>
    </row>
    <row r="28" spans="1:224" x14ac:dyDescent="0.5">
      <c r="B28" s="226"/>
      <c r="C28" s="21"/>
      <c r="D28" s="227"/>
      <c r="E28" s="227"/>
      <c r="F28" s="228"/>
      <c r="G28" s="190"/>
    </row>
    <row r="29" spans="1:224" x14ac:dyDescent="0.5">
      <c r="B29" s="226">
        <v>2</v>
      </c>
      <c r="C29" s="21" t="s">
        <v>16</v>
      </c>
      <c r="D29" s="227" t="s">
        <v>51</v>
      </c>
      <c r="E29" s="229">
        <f>'Take Off'!B8+8</f>
        <v>28.521554545454546</v>
      </c>
      <c r="F29" s="228">
        <v>20</v>
      </c>
      <c r="G29" s="190">
        <f>F29*E29</f>
        <v>570.43109090909093</v>
      </c>
      <c r="I29" s="334"/>
      <c r="J29" s="32"/>
      <c r="L29" s="165"/>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row>
    <row r="30" spans="1:224" x14ac:dyDescent="0.5">
      <c r="B30" s="226"/>
      <c r="C30" s="21"/>
      <c r="D30" s="227"/>
      <c r="E30" s="227"/>
      <c r="F30" s="228"/>
      <c r="G30" s="190"/>
      <c r="I30" s="334"/>
      <c r="J30" s="32"/>
      <c r="L30" s="165"/>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row>
    <row r="31" spans="1:224" x14ac:dyDescent="0.5">
      <c r="B31" s="226">
        <v>3</v>
      </c>
      <c r="C31" s="21" t="s">
        <v>17</v>
      </c>
      <c r="D31" s="227" t="s">
        <v>51</v>
      </c>
      <c r="E31" s="229">
        <f>'Take Off'!C8+1</f>
        <v>20.394021739130434</v>
      </c>
      <c r="F31" s="228">
        <v>20</v>
      </c>
      <c r="G31" s="190">
        <f>F31*E31</f>
        <v>407.88043478260869</v>
      </c>
      <c r="I31" s="334"/>
      <c r="J31" s="32"/>
      <c r="L31" s="165"/>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row>
    <row r="32" spans="1:224" x14ac:dyDescent="0.5">
      <c r="B32" s="226"/>
      <c r="C32" s="21"/>
      <c r="D32" s="227"/>
      <c r="E32" s="227"/>
      <c r="F32" s="228"/>
      <c r="G32" s="190"/>
      <c r="I32" s="334"/>
      <c r="J32" s="32"/>
      <c r="L32" s="165"/>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row>
    <row r="33" spans="2:224" x14ac:dyDescent="0.5">
      <c r="B33" s="226">
        <v>4</v>
      </c>
      <c r="C33" s="21" t="s">
        <v>248</v>
      </c>
      <c r="D33" s="227" t="s">
        <v>51</v>
      </c>
      <c r="E33" s="229">
        <f>'Take Off'!D8+8</f>
        <v>28.521554545454546</v>
      </c>
      <c r="F33" s="228">
        <v>45</v>
      </c>
      <c r="G33" s="190">
        <f>F33*E33</f>
        <v>1283.4699545454546</v>
      </c>
      <c r="I33" s="334"/>
      <c r="J33" s="32"/>
      <c r="L33" s="165"/>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row>
    <row r="34" spans="2:224" x14ac:dyDescent="0.5">
      <c r="B34" s="226"/>
      <c r="C34" s="21"/>
      <c r="D34" s="227"/>
      <c r="E34" s="227"/>
      <c r="F34" s="228"/>
      <c r="G34" s="190"/>
      <c r="I34" s="334"/>
      <c r="J34" s="32"/>
      <c r="L34" s="165"/>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row>
    <row r="35" spans="2:224" x14ac:dyDescent="0.5">
      <c r="B35" s="226">
        <v>5</v>
      </c>
      <c r="C35" s="21" t="s">
        <v>18</v>
      </c>
      <c r="D35" s="227" t="s">
        <v>51</v>
      </c>
      <c r="E35" s="229">
        <f>'Take Off'!G7</f>
        <v>63.425000000000004</v>
      </c>
      <c r="F35" s="228">
        <v>10</v>
      </c>
      <c r="G35" s="190">
        <f>F35*E35</f>
        <v>634.25</v>
      </c>
      <c r="I35" s="334"/>
      <c r="J35" s="32"/>
      <c r="L35" s="165"/>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row>
    <row r="36" spans="2:224" x14ac:dyDescent="0.5">
      <c r="B36" s="226"/>
      <c r="C36" s="21"/>
      <c r="D36" s="227"/>
      <c r="E36" s="227"/>
      <c r="F36" s="228"/>
      <c r="G36" s="190"/>
      <c r="I36" s="334"/>
      <c r="J36" s="32"/>
      <c r="L36" s="165"/>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row>
    <row r="37" spans="2:224" x14ac:dyDescent="0.5">
      <c r="B37" s="226">
        <v>6</v>
      </c>
      <c r="C37" s="21" t="s">
        <v>19</v>
      </c>
      <c r="D37" s="227" t="s">
        <v>20</v>
      </c>
      <c r="E37" s="229">
        <f>'Take Off'!F15</f>
        <v>0</v>
      </c>
      <c r="F37" s="228">
        <v>12.5</v>
      </c>
      <c r="G37" s="190">
        <f>F37*E37</f>
        <v>0</v>
      </c>
      <c r="I37" s="334"/>
      <c r="J37" s="33"/>
      <c r="L37" s="165"/>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row>
    <row r="38" spans="2:224" x14ac:dyDescent="0.5">
      <c r="B38" s="226"/>
      <c r="C38" s="21"/>
      <c r="D38" s="227"/>
      <c r="E38" s="227"/>
      <c r="F38" s="228"/>
      <c r="G38" s="190"/>
      <c r="I38" s="334"/>
      <c r="J38" s="33"/>
      <c r="L38" s="165"/>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row>
    <row r="39" spans="2:224" x14ac:dyDescent="0.5">
      <c r="B39" s="226">
        <v>7</v>
      </c>
      <c r="C39" s="21" t="s">
        <v>21</v>
      </c>
      <c r="D39" s="227" t="s">
        <v>22</v>
      </c>
      <c r="E39" s="229">
        <f>+'Take Off'!G12*5</f>
        <v>86</v>
      </c>
      <c r="F39" s="228">
        <v>0.9</v>
      </c>
      <c r="G39" s="190">
        <f>F39*E39</f>
        <v>77.400000000000006</v>
      </c>
      <c r="I39" s="334"/>
      <c r="J39" s="32"/>
      <c r="L39" s="165"/>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row>
    <row r="40" spans="2:224" x14ac:dyDescent="0.5">
      <c r="B40" s="226"/>
      <c r="C40" s="21"/>
      <c r="D40" s="227"/>
      <c r="E40" s="227"/>
      <c r="F40" s="228"/>
      <c r="G40" s="190"/>
      <c r="I40" s="334"/>
      <c r="J40" s="32"/>
      <c r="L40" s="165"/>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row>
    <row r="41" spans="2:224" x14ac:dyDescent="0.5">
      <c r="B41" s="226">
        <v>8</v>
      </c>
      <c r="C41" s="21" t="s">
        <v>23</v>
      </c>
      <c r="D41" s="227" t="s">
        <v>288</v>
      </c>
      <c r="E41" s="229">
        <f>'Take Off'!D4</f>
        <v>172</v>
      </c>
      <c r="F41" s="228">
        <v>1</v>
      </c>
      <c r="G41" s="190">
        <f>F41*E41</f>
        <v>172</v>
      </c>
      <c r="I41" s="334"/>
      <c r="J41" s="32"/>
      <c r="L41" s="165"/>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row>
    <row r="42" spans="2:224" x14ac:dyDescent="0.5">
      <c r="B42" s="226"/>
      <c r="C42" s="25"/>
      <c r="D42" s="227"/>
      <c r="E42" s="227"/>
      <c r="F42" s="228"/>
      <c r="G42" s="190"/>
      <c r="I42" s="334"/>
      <c r="J42" s="32"/>
      <c r="L42" s="165"/>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c r="HE42" s="32"/>
      <c r="HF42" s="32"/>
      <c r="HG42" s="32"/>
      <c r="HH42" s="32"/>
      <c r="HI42" s="32"/>
      <c r="HJ42" s="32"/>
      <c r="HK42" s="32"/>
      <c r="HL42" s="32"/>
      <c r="HM42" s="32"/>
      <c r="HN42" s="32"/>
      <c r="HO42" s="32"/>
      <c r="HP42" s="32"/>
    </row>
    <row r="43" spans="2:224" ht="34.5" customHeight="1" x14ac:dyDescent="0.5">
      <c r="B43" s="226">
        <v>9</v>
      </c>
      <c r="C43" s="26" t="s">
        <v>24</v>
      </c>
      <c r="D43" s="227" t="s">
        <v>25</v>
      </c>
      <c r="E43" s="229">
        <f>'Take Off'!E7</f>
        <v>14.280000000000001</v>
      </c>
      <c r="F43" s="228">
        <v>2.5</v>
      </c>
      <c r="G43" s="190">
        <f>F43*E43</f>
        <v>35.700000000000003</v>
      </c>
      <c r="H43" s="32"/>
      <c r="I43" s="334"/>
      <c r="J43" s="32"/>
      <c r="L43" s="165"/>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c r="GT43" s="32"/>
      <c r="GU43" s="32"/>
      <c r="GV43" s="32"/>
      <c r="GW43" s="32"/>
      <c r="GX43" s="32"/>
      <c r="GY43" s="32"/>
      <c r="GZ43" s="32"/>
      <c r="HA43" s="32"/>
      <c r="HB43" s="32"/>
      <c r="HC43" s="32"/>
      <c r="HD43" s="32"/>
      <c r="HE43" s="32"/>
      <c r="HF43" s="32"/>
      <c r="HG43" s="32"/>
      <c r="HH43" s="32"/>
      <c r="HI43" s="32"/>
      <c r="HJ43" s="32"/>
      <c r="HK43" s="32"/>
      <c r="HL43" s="32"/>
      <c r="HM43" s="32"/>
      <c r="HN43" s="32"/>
      <c r="HO43" s="32"/>
      <c r="HP43" s="32"/>
    </row>
    <row r="44" spans="2:224" x14ac:dyDescent="0.5">
      <c r="B44" s="226"/>
      <c r="C44" s="21"/>
      <c r="D44" s="227"/>
      <c r="E44" s="227"/>
      <c r="F44" s="228"/>
      <c r="G44" s="190"/>
      <c r="H44" s="32"/>
      <c r="I44" s="334"/>
      <c r="J44" s="32"/>
      <c r="L44" s="165"/>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c r="GT44" s="32"/>
      <c r="GU44" s="32"/>
      <c r="GV44" s="32"/>
      <c r="GW44" s="32"/>
      <c r="GX44" s="32"/>
      <c r="GY44" s="32"/>
      <c r="GZ44" s="32"/>
      <c r="HA44" s="32"/>
      <c r="HB44" s="32"/>
      <c r="HC44" s="32"/>
      <c r="HD44" s="32"/>
      <c r="HE44" s="32"/>
      <c r="HF44" s="32"/>
      <c r="HG44" s="32"/>
      <c r="HH44" s="32"/>
      <c r="HI44" s="32"/>
      <c r="HJ44" s="32"/>
      <c r="HK44" s="32"/>
      <c r="HL44" s="32"/>
      <c r="HM44" s="32"/>
      <c r="HN44" s="32"/>
      <c r="HO44" s="32"/>
      <c r="HP44" s="32"/>
    </row>
    <row r="45" spans="2:224" ht="40.5" customHeight="1" x14ac:dyDescent="0.5">
      <c r="B45" s="226">
        <v>10</v>
      </c>
      <c r="C45" s="26" t="s">
        <v>26</v>
      </c>
      <c r="D45" s="227" t="s">
        <v>25</v>
      </c>
      <c r="E45" s="229">
        <f>'Take Off'!F7</f>
        <v>11.09</v>
      </c>
      <c r="F45" s="228">
        <v>2.5</v>
      </c>
      <c r="G45" s="190">
        <f>F45*E45</f>
        <v>27.725000000000001</v>
      </c>
      <c r="H45" s="32"/>
      <c r="I45" s="334"/>
      <c r="J45" s="32"/>
      <c r="L45" s="165"/>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c r="GT45" s="32"/>
      <c r="GU45" s="32"/>
      <c r="GV45" s="32"/>
      <c r="GW45" s="32"/>
      <c r="GX45" s="32"/>
      <c r="GY45" s="32"/>
      <c r="GZ45" s="32"/>
      <c r="HA45" s="32"/>
      <c r="HB45" s="32"/>
      <c r="HC45" s="32"/>
      <c r="HD45" s="32"/>
      <c r="HE45" s="32"/>
      <c r="HF45" s="32"/>
      <c r="HG45" s="32"/>
      <c r="HH45" s="32"/>
      <c r="HI45" s="32"/>
      <c r="HJ45" s="32"/>
      <c r="HK45" s="32"/>
      <c r="HL45" s="32"/>
      <c r="HM45" s="32"/>
      <c r="HN45" s="32"/>
      <c r="HO45" s="32"/>
      <c r="HP45" s="32"/>
    </row>
    <row r="46" spans="2:224" ht="18.5" customHeight="1" x14ac:dyDescent="0.5">
      <c r="B46" s="226"/>
      <c r="C46" s="26"/>
      <c r="D46" s="227"/>
      <c r="E46" s="229"/>
      <c r="F46" s="228"/>
      <c r="G46" s="190"/>
      <c r="H46" s="32"/>
      <c r="I46" s="334"/>
      <c r="J46" s="32"/>
      <c r="L46" s="165"/>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c r="GT46" s="32"/>
      <c r="GU46" s="32"/>
      <c r="GV46" s="32"/>
      <c r="GW46" s="32"/>
      <c r="GX46" s="32"/>
      <c r="GY46" s="32"/>
      <c r="GZ46" s="32"/>
      <c r="HA46" s="32"/>
      <c r="HB46" s="32"/>
      <c r="HC46" s="32"/>
      <c r="HD46" s="32"/>
      <c r="HE46" s="32"/>
      <c r="HF46" s="32"/>
      <c r="HG46" s="32"/>
      <c r="HH46" s="32"/>
      <c r="HI46" s="32"/>
      <c r="HJ46" s="32"/>
      <c r="HK46" s="32"/>
      <c r="HL46" s="32"/>
      <c r="HM46" s="32"/>
      <c r="HN46" s="32"/>
      <c r="HO46" s="32"/>
      <c r="HP46" s="32"/>
    </row>
    <row r="47" spans="2:224" ht="20" customHeight="1" x14ac:dyDescent="0.5">
      <c r="B47" s="226">
        <v>11</v>
      </c>
      <c r="C47" s="26" t="s">
        <v>328</v>
      </c>
      <c r="D47" s="227" t="s">
        <v>329</v>
      </c>
      <c r="E47" s="229">
        <f>'Take Off'!D16</f>
        <v>1191.1284043478261</v>
      </c>
      <c r="F47" s="228">
        <v>0.65</v>
      </c>
      <c r="G47" s="190">
        <f>E47*F47</f>
        <v>774.23346282608702</v>
      </c>
      <c r="H47" s="32"/>
      <c r="I47" s="334"/>
      <c r="J47" s="32"/>
      <c r="L47" s="165"/>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c r="GT47" s="32"/>
      <c r="GU47" s="32"/>
      <c r="GV47" s="32"/>
      <c r="GW47" s="32"/>
      <c r="GX47" s="32"/>
      <c r="GY47" s="32"/>
      <c r="GZ47" s="32"/>
      <c r="HA47" s="32"/>
      <c r="HB47" s="32"/>
      <c r="HC47" s="32"/>
      <c r="HD47" s="32"/>
      <c r="HE47" s="32"/>
      <c r="HF47" s="32"/>
      <c r="HG47" s="32"/>
      <c r="HH47" s="32"/>
      <c r="HI47" s="32"/>
      <c r="HJ47" s="32"/>
      <c r="HK47" s="32"/>
      <c r="HL47" s="32"/>
      <c r="HM47" s="32"/>
      <c r="HN47" s="32"/>
      <c r="HO47" s="32"/>
      <c r="HP47" s="32"/>
    </row>
    <row r="48" spans="2:224" x14ac:dyDescent="0.5">
      <c r="B48" s="226"/>
      <c r="C48" s="26"/>
      <c r="D48" s="227"/>
      <c r="E48" s="229"/>
      <c r="F48" s="228"/>
      <c r="G48" s="190"/>
      <c r="H48" s="33"/>
      <c r="I48" s="334"/>
      <c r="J48" s="32"/>
      <c r="L48" s="165"/>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c r="GT48" s="32"/>
      <c r="GU48" s="32"/>
      <c r="GV48" s="32"/>
      <c r="GW48" s="32"/>
      <c r="GX48" s="32"/>
      <c r="GY48" s="32"/>
      <c r="GZ48" s="32"/>
      <c r="HA48" s="32"/>
      <c r="HB48" s="32"/>
      <c r="HC48" s="32"/>
      <c r="HD48" s="32"/>
      <c r="HE48" s="32"/>
      <c r="HF48" s="32"/>
      <c r="HG48" s="32"/>
      <c r="HH48" s="32"/>
      <c r="HI48" s="32"/>
      <c r="HJ48" s="32"/>
      <c r="HK48" s="32"/>
      <c r="HL48" s="32"/>
      <c r="HM48" s="32"/>
      <c r="HN48" s="32"/>
      <c r="HO48" s="32"/>
      <c r="HP48" s="32"/>
    </row>
    <row r="49" spans="2:224" ht="17.25" x14ac:dyDescent="0.45">
      <c r="B49" s="383" t="s">
        <v>27</v>
      </c>
      <c r="C49" s="384"/>
      <c r="D49" s="384"/>
      <c r="E49" s="384"/>
      <c r="F49" s="385"/>
      <c r="G49" s="300">
        <f>SUM(G27:G48)</f>
        <v>6051.7855952371538</v>
      </c>
      <c r="H49" s="32"/>
      <c r="I49" s="334"/>
      <c r="J49" s="32"/>
      <c r="L49" s="165"/>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c r="GT49" s="32"/>
      <c r="GU49" s="32"/>
      <c r="GV49" s="32"/>
      <c r="GW49" s="32"/>
      <c r="GX49" s="32"/>
      <c r="GY49" s="32"/>
      <c r="GZ49" s="32"/>
      <c r="HA49" s="32"/>
      <c r="HB49" s="32"/>
      <c r="HC49" s="32"/>
      <c r="HD49" s="32"/>
      <c r="HE49" s="32"/>
      <c r="HF49" s="32"/>
      <c r="HG49" s="32"/>
      <c r="HH49" s="32"/>
      <c r="HI49" s="32"/>
      <c r="HJ49" s="32"/>
      <c r="HK49" s="32"/>
      <c r="HL49" s="32"/>
      <c r="HM49" s="32"/>
      <c r="HN49" s="32"/>
      <c r="HO49" s="32"/>
      <c r="HP49" s="32"/>
    </row>
    <row r="50" spans="2:224" ht="17.25" x14ac:dyDescent="0.45">
      <c r="B50" s="147"/>
      <c r="C50" s="148"/>
      <c r="D50" s="149"/>
      <c r="E50" s="150"/>
      <c r="F50" s="151"/>
      <c r="G50" s="191"/>
      <c r="H50" s="32"/>
      <c r="I50" s="334"/>
      <c r="J50" s="32"/>
      <c r="L50" s="165"/>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c r="HE50" s="32"/>
      <c r="HF50" s="32"/>
      <c r="HG50" s="32"/>
      <c r="HH50" s="32"/>
      <c r="HI50" s="32"/>
      <c r="HJ50" s="32"/>
      <c r="HK50" s="32"/>
      <c r="HL50" s="32"/>
      <c r="HM50" s="32"/>
      <c r="HN50" s="32"/>
      <c r="HO50" s="32"/>
      <c r="HP50" s="32"/>
    </row>
    <row r="51" spans="2:224" x14ac:dyDescent="0.5">
      <c r="B51" s="378" t="s">
        <v>239</v>
      </c>
      <c r="C51" s="379"/>
      <c r="D51" s="34"/>
      <c r="E51" s="35"/>
      <c r="F51" s="36"/>
      <c r="G51" s="192"/>
      <c r="H51" s="32"/>
      <c r="I51" s="334"/>
      <c r="J51" s="32"/>
      <c r="L51" s="165"/>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c r="GT51" s="32"/>
      <c r="GU51" s="32"/>
      <c r="GV51" s="32"/>
      <c r="GW51" s="32"/>
      <c r="GX51" s="32"/>
      <c r="GY51" s="32"/>
      <c r="GZ51" s="32"/>
      <c r="HA51" s="32"/>
      <c r="HB51" s="32"/>
      <c r="HC51" s="32"/>
      <c r="HD51" s="32"/>
      <c r="HE51" s="32"/>
      <c r="HF51" s="32"/>
      <c r="HG51" s="32"/>
      <c r="HH51" s="32"/>
      <c r="HI51" s="32"/>
      <c r="HJ51" s="32"/>
      <c r="HK51" s="32"/>
      <c r="HL51" s="32"/>
      <c r="HM51" s="32"/>
      <c r="HN51" s="32"/>
      <c r="HO51" s="32"/>
      <c r="HP51" s="32"/>
    </row>
    <row r="52" spans="2:224" ht="17.25" x14ac:dyDescent="0.45">
      <c r="B52" s="285" t="s">
        <v>8</v>
      </c>
      <c r="C52" s="286" t="s">
        <v>240</v>
      </c>
      <c r="D52" s="287" t="s">
        <v>9</v>
      </c>
      <c r="E52" s="288" t="s">
        <v>10</v>
      </c>
      <c r="F52" s="289" t="s">
        <v>11</v>
      </c>
      <c r="G52" s="290" t="s">
        <v>12</v>
      </c>
      <c r="H52" s="32"/>
      <c r="I52" s="334"/>
      <c r="J52" s="32"/>
      <c r="L52" s="165"/>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c r="GT52" s="32"/>
      <c r="GU52" s="32"/>
      <c r="GV52" s="32"/>
      <c r="GW52" s="32"/>
      <c r="GX52" s="32"/>
      <c r="GY52" s="32"/>
      <c r="GZ52" s="32"/>
      <c r="HA52" s="32"/>
      <c r="HB52" s="32"/>
      <c r="HC52" s="32"/>
      <c r="HD52" s="32"/>
      <c r="HE52" s="32"/>
      <c r="HF52" s="32"/>
      <c r="HG52" s="32"/>
      <c r="HH52" s="32"/>
      <c r="HI52" s="32"/>
      <c r="HJ52" s="32"/>
      <c r="HK52" s="32"/>
      <c r="HL52" s="32"/>
      <c r="HM52" s="32"/>
      <c r="HN52" s="32"/>
      <c r="HO52" s="32"/>
      <c r="HP52" s="32"/>
    </row>
    <row r="53" spans="2:224" ht="17.25" x14ac:dyDescent="0.45">
      <c r="B53" s="152"/>
      <c r="C53" s="37" t="s">
        <v>28</v>
      </c>
      <c r="D53" s="38"/>
      <c r="E53" s="39"/>
      <c r="F53" s="40"/>
      <c r="G53" s="193"/>
      <c r="H53" s="32"/>
      <c r="I53" s="334"/>
      <c r="J53" s="32"/>
      <c r="K53" s="326"/>
      <c r="L53" s="165"/>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c r="GT53" s="32"/>
      <c r="GU53" s="32"/>
      <c r="GV53" s="32"/>
      <c r="GW53" s="32"/>
      <c r="GX53" s="32"/>
      <c r="GY53" s="32"/>
      <c r="GZ53" s="32"/>
      <c r="HA53" s="32"/>
      <c r="HB53" s="32"/>
      <c r="HC53" s="32"/>
      <c r="HD53" s="32"/>
      <c r="HE53" s="32"/>
      <c r="HF53" s="32"/>
      <c r="HG53" s="32"/>
      <c r="HH53" s="32"/>
      <c r="HI53" s="32"/>
      <c r="HJ53" s="32"/>
      <c r="HK53" s="32"/>
      <c r="HL53" s="32"/>
      <c r="HM53" s="32"/>
      <c r="HN53" s="32"/>
      <c r="HO53" s="32"/>
      <c r="HP53" s="32"/>
    </row>
    <row r="54" spans="2:224" ht="19.25" customHeight="1" x14ac:dyDescent="0.5">
      <c r="B54" s="146">
        <v>1</v>
      </c>
      <c r="C54" s="21" t="s">
        <v>29</v>
      </c>
      <c r="D54" s="46" t="s">
        <v>51</v>
      </c>
      <c r="E54" s="24">
        <f>'Take Off'!B45</f>
        <v>29.827114624505931</v>
      </c>
      <c r="F54" s="23">
        <f>F31</f>
        <v>20</v>
      </c>
      <c r="G54" s="194">
        <f>F54*E54</f>
        <v>596.5422924901186</v>
      </c>
      <c r="H54" s="32"/>
      <c r="I54" s="334"/>
      <c r="J54" s="32"/>
      <c r="L54" s="165"/>
      <c r="M54" s="32"/>
      <c r="N54" s="32"/>
      <c r="O54" s="225"/>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c r="GT54" s="32"/>
      <c r="GU54" s="32"/>
      <c r="GV54" s="32"/>
      <c r="GW54" s="32"/>
      <c r="GX54" s="32"/>
      <c r="GY54" s="32"/>
      <c r="GZ54" s="32"/>
      <c r="HA54" s="32"/>
      <c r="HB54" s="32"/>
      <c r="HC54" s="32"/>
      <c r="HD54" s="32"/>
      <c r="HE54" s="32"/>
      <c r="HF54" s="32"/>
      <c r="HG54" s="32"/>
      <c r="HH54" s="32"/>
      <c r="HI54" s="32"/>
      <c r="HJ54" s="32"/>
      <c r="HK54" s="32"/>
      <c r="HL54" s="32"/>
      <c r="HM54" s="32"/>
      <c r="HN54" s="32"/>
      <c r="HO54" s="32"/>
      <c r="HP54" s="32"/>
    </row>
    <row r="55" spans="2:224" x14ac:dyDescent="0.5">
      <c r="B55" s="146"/>
      <c r="C55" s="21"/>
      <c r="D55" s="46"/>
      <c r="E55" s="22"/>
      <c r="F55" s="23"/>
      <c r="G55" s="194"/>
      <c r="H55" s="32"/>
      <c r="I55" s="334"/>
      <c r="J55" s="32"/>
      <c r="L55" s="165"/>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c r="HE55" s="32"/>
      <c r="HF55" s="32"/>
      <c r="HG55" s="32"/>
      <c r="HH55" s="32"/>
      <c r="HI55" s="32"/>
      <c r="HJ55" s="32"/>
      <c r="HK55" s="32"/>
      <c r="HL55" s="32"/>
      <c r="HM55" s="32"/>
      <c r="HN55" s="32"/>
      <c r="HO55" s="32"/>
      <c r="HP55" s="32"/>
    </row>
    <row r="56" spans="2:224" ht="17.45" customHeight="1" x14ac:dyDescent="0.5">
      <c r="B56" s="146">
        <v>2</v>
      </c>
      <c r="C56" s="21" t="s">
        <v>30</v>
      </c>
      <c r="D56" s="46" t="s">
        <v>31</v>
      </c>
      <c r="E56" s="24">
        <f>'Take Off'!A45+1</f>
        <v>3.7469527272727272</v>
      </c>
      <c r="F56" s="23">
        <f>F29</f>
        <v>20</v>
      </c>
      <c r="G56" s="194">
        <f>F56*E56</f>
        <v>74.939054545454539</v>
      </c>
      <c r="H56" s="32"/>
      <c r="I56" s="334"/>
      <c r="J56" s="32"/>
      <c r="L56" s="165"/>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c r="GT56" s="32"/>
      <c r="GU56" s="32"/>
      <c r="GV56" s="32"/>
      <c r="GW56" s="32"/>
      <c r="GX56" s="32"/>
      <c r="GY56" s="32"/>
      <c r="GZ56" s="32"/>
      <c r="HA56" s="32"/>
      <c r="HB56" s="32"/>
      <c r="HC56" s="32"/>
      <c r="HD56" s="32"/>
      <c r="HE56" s="32"/>
      <c r="HF56" s="32"/>
      <c r="HG56" s="32"/>
      <c r="HH56" s="32"/>
      <c r="HI56" s="32"/>
      <c r="HJ56" s="32"/>
      <c r="HK56" s="32"/>
      <c r="HL56" s="32"/>
      <c r="HM56" s="32"/>
      <c r="HN56" s="32"/>
      <c r="HO56" s="32"/>
      <c r="HP56" s="32"/>
    </row>
    <row r="57" spans="2:224" x14ac:dyDescent="0.5">
      <c r="B57" s="146"/>
      <c r="C57" s="21"/>
      <c r="D57" s="46"/>
      <c r="E57" s="22"/>
      <c r="F57" s="23"/>
      <c r="G57" s="194"/>
      <c r="H57" s="32"/>
      <c r="I57" s="334"/>
      <c r="J57" s="32"/>
      <c r="L57" s="165"/>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c r="GT57" s="32"/>
      <c r="GU57" s="32"/>
      <c r="GV57" s="32"/>
      <c r="GW57" s="32"/>
      <c r="GX57" s="32"/>
      <c r="GY57" s="32"/>
      <c r="GZ57" s="32"/>
      <c r="HA57" s="32"/>
      <c r="HB57" s="32"/>
      <c r="HC57" s="32"/>
      <c r="HD57" s="32"/>
      <c r="HE57" s="32"/>
      <c r="HF57" s="32"/>
      <c r="HG57" s="32"/>
      <c r="HH57" s="32"/>
      <c r="HI57" s="32"/>
      <c r="HJ57" s="32"/>
      <c r="HK57" s="32"/>
      <c r="HL57" s="32"/>
      <c r="HM57" s="32"/>
      <c r="HN57" s="32"/>
      <c r="HO57" s="32"/>
      <c r="HP57" s="32"/>
    </row>
    <row r="58" spans="2:224" x14ac:dyDescent="0.5">
      <c r="B58" s="146">
        <v>3</v>
      </c>
      <c r="C58" s="21" t="s">
        <v>19</v>
      </c>
      <c r="D58" s="72" t="s">
        <v>20</v>
      </c>
      <c r="E58" s="24">
        <f>'Take Off'!D22+'Take Off'!D33+'Take Off'!G22</f>
        <v>124.47432695652174</v>
      </c>
      <c r="F58" s="23">
        <f>+F37</f>
        <v>12.5</v>
      </c>
      <c r="G58" s="194">
        <f>F58*E58</f>
        <v>1555.9290869565216</v>
      </c>
      <c r="H58" s="32"/>
      <c r="I58" s="334"/>
      <c r="J58" s="32"/>
      <c r="L58" s="165"/>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c r="GT58" s="32"/>
      <c r="GU58" s="32"/>
      <c r="GV58" s="32"/>
      <c r="GW58" s="32"/>
      <c r="GX58" s="32"/>
      <c r="GY58" s="32"/>
      <c r="GZ58" s="32"/>
      <c r="HA58" s="32"/>
      <c r="HB58" s="32"/>
      <c r="HC58" s="32"/>
      <c r="HD58" s="32"/>
      <c r="HE58" s="32"/>
      <c r="HF58" s="32"/>
      <c r="HG58" s="32"/>
      <c r="HH58" s="32"/>
      <c r="HI58" s="32"/>
      <c r="HJ58" s="32"/>
      <c r="HK58" s="32"/>
      <c r="HL58" s="32"/>
      <c r="HM58" s="32"/>
      <c r="HN58" s="32"/>
      <c r="HO58" s="32"/>
      <c r="HP58" s="32"/>
    </row>
    <row r="59" spans="2:224" x14ac:dyDescent="0.5">
      <c r="B59" s="146"/>
      <c r="C59" s="21"/>
      <c r="D59" s="72"/>
      <c r="E59" s="22"/>
      <c r="F59" s="23"/>
      <c r="G59" s="194"/>
      <c r="H59" s="32"/>
      <c r="I59" s="334"/>
      <c r="J59" s="32"/>
      <c r="L59" s="165"/>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c r="GT59" s="32"/>
      <c r="GU59" s="32"/>
      <c r="GV59" s="32"/>
      <c r="GW59" s="32"/>
      <c r="GX59" s="32"/>
      <c r="GY59" s="32"/>
      <c r="GZ59" s="32"/>
      <c r="HA59" s="32"/>
      <c r="HB59" s="32"/>
      <c r="HC59" s="32"/>
      <c r="HD59" s="32"/>
      <c r="HE59" s="32"/>
      <c r="HF59" s="32"/>
      <c r="HG59" s="32"/>
      <c r="HH59" s="32"/>
      <c r="HI59" s="32"/>
      <c r="HJ59" s="32"/>
      <c r="HK59" s="32"/>
      <c r="HL59" s="32"/>
      <c r="HM59" s="32"/>
      <c r="HN59" s="32"/>
      <c r="HO59" s="32"/>
      <c r="HP59" s="32"/>
    </row>
    <row r="60" spans="2:224" x14ac:dyDescent="0.5">
      <c r="B60" s="146">
        <v>4</v>
      </c>
      <c r="C60" s="21" t="s">
        <v>32</v>
      </c>
      <c r="D60" s="46" t="s">
        <v>31</v>
      </c>
      <c r="E60" s="24">
        <v>2</v>
      </c>
      <c r="F60" s="23">
        <f>+F33</f>
        <v>45</v>
      </c>
      <c r="G60" s="194">
        <f>F60*E60</f>
        <v>90</v>
      </c>
      <c r="H60" s="32"/>
      <c r="I60" s="334"/>
      <c r="J60" s="32"/>
      <c r="L60" s="165"/>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c r="GT60" s="32"/>
      <c r="GU60" s="32"/>
      <c r="GV60" s="32"/>
      <c r="GW60" s="32"/>
      <c r="GX60" s="32"/>
      <c r="GY60" s="32"/>
      <c r="GZ60" s="32"/>
      <c r="HA60" s="32"/>
      <c r="HB60" s="32"/>
      <c r="HC60" s="32"/>
      <c r="HD60" s="32"/>
      <c r="HE60" s="32"/>
      <c r="HF60" s="32"/>
      <c r="HG60" s="32"/>
      <c r="HH60" s="32"/>
      <c r="HI60" s="32"/>
      <c r="HJ60" s="32"/>
      <c r="HK60" s="32"/>
      <c r="HL60" s="32"/>
      <c r="HM60" s="32"/>
      <c r="HN60" s="32"/>
      <c r="HO60" s="32"/>
      <c r="HP60" s="32"/>
    </row>
    <row r="61" spans="2:224" x14ac:dyDescent="0.5">
      <c r="B61" s="146"/>
      <c r="C61" s="21"/>
      <c r="D61" s="46"/>
      <c r="E61" s="22"/>
      <c r="F61" s="23"/>
      <c r="G61" s="194"/>
      <c r="I61" s="334"/>
      <c r="J61" s="32"/>
      <c r="L61" s="165"/>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c r="GT61" s="32"/>
      <c r="GU61" s="32"/>
      <c r="GV61" s="32"/>
      <c r="GW61" s="32"/>
      <c r="GX61" s="32"/>
      <c r="GY61" s="32"/>
      <c r="GZ61" s="32"/>
      <c r="HA61" s="32"/>
      <c r="HB61" s="32"/>
      <c r="HC61" s="32"/>
      <c r="HD61" s="32"/>
      <c r="HE61" s="32"/>
      <c r="HF61" s="32"/>
      <c r="HG61" s="32"/>
      <c r="HH61" s="32"/>
      <c r="HI61" s="32"/>
      <c r="HJ61" s="32"/>
      <c r="HK61" s="32"/>
      <c r="HL61" s="32"/>
      <c r="HM61" s="32"/>
      <c r="HN61" s="32"/>
      <c r="HO61" s="32"/>
      <c r="HP61" s="32"/>
    </row>
    <row r="62" spans="2:224" x14ac:dyDescent="0.5">
      <c r="B62" s="146">
        <v>5</v>
      </c>
      <c r="C62" s="21" t="s">
        <v>268</v>
      </c>
      <c r="D62" s="46" t="s">
        <v>15</v>
      </c>
      <c r="E62" s="24">
        <f>'Take Off'!A36+'Take Off'!A25</f>
        <v>27341.521739130436</v>
      </c>
      <c r="F62" s="23">
        <f>F27</f>
        <v>0.16</v>
      </c>
      <c r="G62" s="194">
        <f>F62*E62</f>
        <v>4374.6434782608694</v>
      </c>
      <c r="I62" s="334"/>
      <c r="J62" s="32"/>
      <c r="L62" s="165"/>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c r="GT62" s="32"/>
      <c r="GU62" s="32"/>
      <c r="GV62" s="32"/>
      <c r="GW62" s="32"/>
      <c r="GX62" s="32"/>
      <c r="GY62" s="32"/>
      <c r="GZ62" s="32"/>
      <c r="HA62" s="32"/>
      <c r="HB62" s="32"/>
      <c r="HC62" s="32"/>
      <c r="HD62" s="32"/>
      <c r="HE62" s="32"/>
      <c r="HF62" s="32"/>
      <c r="HG62" s="32"/>
      <c r="HH62" s="32"/>
      <c r="HI62" s="32"/>
      <c r="HJ62" s="32"/>
      <c r="HK62" s="32"/>
      <c r="HL62" s="32"/>
      <c r="HM62" s="32"/>
      <c r="HN62" s="32"/>
      <c r="HO62" s="32"/>
      <c r="HP62" s="32"/>
    </row>
    <row r="63" spans="2:224" x14ac:dyDescent="0.5">
      <c r="B63" s="146"/>
      <c r="C63" s="21"/>
      <c r="D63" s="46"/>
      <c r="E63" s="24"/>
      <c r="F63" s="23"/>
      <c r="G63" s="194"/>
      <c r="I63" s="334"/>
      <c r="J63" s="32"/>
      <c r="L63" s="165"/>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c r="HJ63" s="32"/>
      <c r="HK63" s="32"/>
      <c r="HL63" s="32"/>
      <c r="HM63" s="32"/>
      <c r="HN63" s="32"/>
      <c r="HO63" s="32"/>
      <c r="HP63" s="32"/>
    </row>
    <row r="64" spans="2:224" ht="35.25" x14ac:dyDescent="0.5">
      <c r="B64" s="146">
        <v>6</v>
      </c>
      <c r="C64" s="26" t="s">
        <v>33</v>
      </c>
      <c r="D64" s="46" t="s">
        <v>25</v>
      </c>
      <c r="E64" s="24">
        <f>'Take Off'!B54</f>
        <v>4.7600000000000007</v>
      </c>
      <c r="F64" s="23">
        <v>3</v>
      </c>
      <c r="G64" s="194">
        <f>F64*E64</f>
        <v>14.280000000000001</v>
      </c>
      <c r="I64" s="334"/>
      <c r="J64" s="32"/>
      <c r="L64" s="165"/>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c r="HJ64" s="32"/>
      <c r="HK64" s="32"/>
      <c r="HL64" s="32"/>
      <c r="HM64" s="32"/>
      <c r="HN64" s="32"/>
      <c r="HO64" s="32"/>
      <c r="HP64" s="32"/>
    </row>
    <row r="65" spans="2:224" x14ac:dyDescent="0.5">
      <c r="B65" s="146"/>
      <c r="C65" s="41"/>
      <c r="D65" s="46"/>
      <c r="E65" s="22"/>
      <c r="F65" s="23"/>
      <c r="G65" s="194"/>
      <c r="H65" s="32"/>
      <c r="I65" s="334"/>
      <c r="J65" s="32"/>
      <c r="L65" s="165"/>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row>
    <row r="66" spans="2:224" ht="35.25" x14ac:dyDescent="0.5">
      <c r="B66" s="146">
        <v>7</v>
      </c>
      <c r="C66" s="26" t="s">
        <v>257</v>
      </c>
      <c r="D66" s="46" t="s">
        <v>25</v>
      </c>
      <c r="E66" s="24">
        <f>'Take Off'!A54</f>
        <v>3.6966666666666668</v>
      </c>
      <c r="F66" s="23">
        <v>2</v>
      </c>
      <c r="G66" s="194">
        <f>F66*E66</f>
        <v>7.3933333333333335</v>
      </c>
      <c r="H66" s="32"/>
      <c r="I66" s="334"/>
      <c r="J66" s="32"/>
      <c r="L66" s="165"/>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c r="HJ66" s="32"/>
      <c r="HK66" s="32"/>
      <c r="HL66" s="32"/>
      <c r="HM66" s="32"/>
      <c r="HN66" s="32"/>
      <c r="HO66" s="32"/>
      <c r="HP66" s="32"/>
    </row>
    <row r="67" spans="2:224" x14ac:dyDescent="0.5">
      <c r="B67" s="146"/>
      <c r="C67" s="41"/>
      <c r="D67" s="46"/>
      <c r="E67" s="22"/>
      <c r="F67" s="23"/>
      <c r="G67" s="194"/>
      <c r="H67" s="32"/>
      <c r="I67" s="334"/>
      <c r="J67" s="32"/>
      <c r="L67" s="165"/>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c r="GT67" s="32"/>
      <c r="GU67" s="32"/>
      <c r="GV67" s="32"/>
      <c r="GW67" s="32"/>
      <c r="GX67" s="32"/>
      <c r="GY67" s="32"/>
      <c r="GZ67" s="32"/>
      <c r="HA67" s="32"/>
      <c r="HB67" s="32"/>
      <c r="HC67" s="32"/>
      <c r="HD67" s="32"/>
      <c r="HE67" s="32"/>
      <c r="HF67" s="32"/>
      <c r="HG67" s="32"/>
      <c r="HH67" s="32"/>
      <c r="HI67" s="32"/>
      <c r="HJ67" s="32"/>
      <c r="HK67" s="32"/>
      <c r="HL67" s="32"/>
      <c r="HM67" s="32"/>
      <c r="HN67" s="32"/>
      <c r="HO67" s="32"/>
      <c r="HP67" s="32"/>
    </row>
    <row r="68" spans="2:224" ht="35.25" x14ac:dyDescent="0.5">
      <c r="B68" s="146">
        <v>8</v>
      </c>
      <c r="C68" s="26" t="s">
        <v>258</v>
      </c>
      <c r="D68" s="46" t="s">
        <v>25</v>
      </c>
      <c r="E68" s="24">
        <f>'Take Off'!F45</f>
        <v>38.080000000000005</v>
      </c>
      <c r="F68" s="23">
        <v>2.5</v>
      </c>
      <c r="G68" s="194">
        <f>F68*E68</f>
        <v>95.200000000000017</v>
      </c>
      <c r="H68" s="32"/>
      <c r="I68" s="334"/>
      <c r="J68" s="32"/>
      <c r="L68" s="165"/>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c r="HJ68" s="32"/>
      <c r="HK68" s="32"/>
      <c r="HL68" s="32"/>
      <c r="HM68" s="32"/>
      <c r="HN68" s="32"/>
      <c r="HO68" s="32"/>
      <c r="HP68" s="32"/>
    </row>
    <row r="69" spans="2:224" x14ac:dyDescent="0.5">
      <c r="B69" s="146"/>
      <c r="C69" s="41"/>
      <c r="D69" s="46"/>
      <c r="E69" s="22"/>
      <c r="F69" s="23"/>
      <c r="G69" s="194"/>
      <c r="H69" s="32"/>
      <c r="I69" s="334"/>
      <c r="J69" s="32"/>
      <c r="L69" s="165"/>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c r="GT69" s="32"/>
      <c r="GU69" s="32"/>
      <c r="GV69" s="32"/>
      <c r="GW69" s="32"/>
      <c r="GX69" s="32"/>
      <c r="GY69" s="32"/>
      <c r="GZ69" s="32"/>
      <c r="HA69" s="32"/>
      <c r="HB69" s="32"/>
      <c r="HC69" s="32"/>
      <c r="HD69" s="32"/>
      <c r="HE69" s="32"/>
      <c r="HF69" s="32"/>
      <c r="HG69" s="32"/>
      <c r="HH69" s="32"/>
      <c r="HI69" s="32"/>
      <c r="HJ69" s="32"/>
      <c r="HK69" s="32"/>
      <c r="HL69" s="32"/>
      <c r="HM69" s="32"/>
      <c r="HN69" s="32"/>
      <c r="HO69" s="32"/>
      <c r="HP69" s="32"/>
    </row>
    <row r="70" spans="2:224" ht="35.25" x14ac:dyDescent="0.5">
      <c r="B70" s="146">
        <v>9</v>
      </c>
      <c r="C70" s="42" t="s">
        <v>34</v>
      </c>
      <c r="D70" s="46" t="s">
        <v>25</v>
      </c>
      <c r="E70" s="24">
        <f>'Take Off'!G45</f>
        <v>29.573333333333334</v>
      </c>
      <c r="F70" s="23">
        <v>2.5</v>
      </c>
      <c r="G70" s="194">
        <f>F70*E70</f>
        <v>73.933333333333337</v>
      </c>
      <c r="H70" s="32"/>
      <c r="I70" s="334"/>
      <c r="J70" s="32"/>
      <c r="L70" s="165"/>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c r="GT70" s="32"/>
      <c r="GU70" s="32"/>
      <c r="GV70" s="32"/>
      <c r="GW70" s="32"/>
      <c r="GX70" s="32"/>
      <c r="GY70" s="32"/>
      <c r="GZ70" s="32"/>
      <c r="HA70" s="32"/>
      <c r="HB70" s="32"/>
      <c r="HC70" s="32"/>
      <c r="HD70" s="32"/>
      <c r="HE70" s="32"/>
      <c r="HF70" s="32"/>
      <c r="HG70" s="32"/>
      <c r="HH70" s="32"/>
      <c r="HI70" s="32"/>
      <c r="HJ70" s="32"/>
      <c r="HK70" s="32"/>
      <c r="HL70" s="32"/>
      <c r="HM70" s="32"/>
      <c r="HN70" s="32"/>
      <c r="HO70" s="32"/>
      <c r="HP70" s="32"/>
    </row>
    <row r="71" spans="2:224" x14ac:dyDescent="0.5">
      <c r="B71" s="146"/>
      <c r="C71" s="42"/>
      <c r="D71" s="46"/>
      <c r="E71" s="22"/>
      <c r="F71" s="23"/>
      <c r="G71" s="194"/>
      <c r="H71" s="32"/>
      <c r="I71" s="334"/>
      <c r="J71" s="32"/>
      <c r="L71" s="165"/>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c r="HE71" s="32"/>
      <c r="HF71" s="32"/>
      <c r="HG71" s="32"/>
      <c r="HH71" s="32"/>
      <c r="HI71" s="32"/>
      <c r="HJ71" s="32"/>
      <c r="HK71" s="32"/>
      <c r="HL71" s="32"/>
      <c r="HM71" s="32"/>
      <c r="HN71" s="32"/>
      <c r="HO71" s="32"/>
      <c r="HP71" s="32"/>
    </row>
    <row r="72" spans="2:224" x14ac:dyDescent="0.5">
      <c r="B72" s="146">
        <v>10</v>
      </c>
      <c r="C72" s="26" t="s">
        <v>321</v>
      </c>
      <c r="D72" s="46" t="s">
        <v>322</v>
      </c>
      <c r="E72" s="24">
        <f>'Take Off'!D48</f>
        <v>3.6</v>
      </c>
      <c r="F72" s="23">
        <v>8.8000000000000007</v>
      </c>
      <c r="G72" s="194">
        <f>E72*F72</f>
        <v>31.680000000000003</v>
      </c>
      <c r="H72" s="32"/>
      <c r="I72" s="334"/>
      <c r="J72" s="32"/>
      <c r="L72" s="165"/>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c r="HE72" s="32"/>
      <c r="HF72" s="32"/>
      <c r="HG72" s="32"/>
      <c r="HH72" s="32"/>
      <c r="HI72" s="32"/>
      <c r="HJ72" s="32"/>
      <c r="HK72" s="32"/>
      <c r="HL72" s="32"/>
      <c r="HM72" s="32"/>
      <c r="HN72" s="32"/>
      <c r="HO72" s="32"/>
      <c r="HP72" s="32"/>
    </row>
    <row r="73" spans="2:224" x14ac:dyDescent="0.5">
      <c r="B73" s="146"/>
      <c r="C73" s="42"/>
      <c r="D73" s="46"/>
      <c r="E73" s="22"/>
      <c r="F73" s="23"/>
      <c r="G73" s="194"/>
      <c r="H73" s="32"/>
      <c r="I73" s="334"/>
      <c r="J73" s="32"/>
      <c r="L73" s="165"/>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c r="HE73" s="32"/>
      <c r="HF73" s="32"/>
      <c r="HG73" s="32"/>
      <c r="HH73" s="32"/>
      <c r="HI73" s="32"/>
      <c r="HJ73" s="32"/>
      <c r="HK73" s="32"/>
      <c r="HL73" s="32"/>
      <c r="HM73" s="32"/>
      <c r="HN73" s="32"/>
      <c r="HO73" s="32"/>
      <c r="HP73" s="32"/>
    </row>
    <row r="74" spans="2:224" x14ac:dyDescent="0.5">
      <c r="B74" s="146">
        <v>11</v>
      </c>
      <c r="C74" s="26" t="s">
        <v>35</v>
      </c>
      <c r="D74" s="46" t="s">
        <v>36</v>
      </c>
      <c r="E74" s="24">
        <f>'Take Off'!D45+'Take Off'!F54</f>
        <v>61.120000000000005</v>
      </c>
      <c r="F74" s="23">
        <f>4*1.3</f>
        <v>5.2</v>
      </c>
      <c r="G74" s="194">
        <f>F74*E74</f>
        <v>317.82400000000001</v>
      </c>
      <c r="H74" s="32"/>
      <c r="I74" s="334"/>
      <c r="J74" s="32"/>
      <c r="L74" s="165"/>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c r="HE74" s="32"/>
      <c r="HF74" s="32"/>
      <c r="HG74" s="32"/>
      <c r="HH74" s="32"/>
      <c r="HI74" s="32"/>
      <c r="HJ74" s="32"/>
      <c r="HK74" s="32"/>
      <c r="HL74" s="32"/>
      <c r="HM74" s="32"/>
      <c r="HN74" s="32"/>
      <c r="HO74" s="32"/>
      <c r="HP74" s="32"/>
    </row>
    <row r="75" spans="2:224" x14ac:dyDescent="0.5">
      <c r="B75" s="146"/>
      <c r="C75" s="26"/>
      <c r="D75" s="46"/>
      <c r="E75" s="22"/>
      <c r="F75" s="23"/>
      <c r="G75" s="194"/>
    </row>
    <row r="76" spans="2:224" x14ac:dyDescent="0.5">
      <c r="B76" s="146">
        <v>12</v>
      </c>
      <c r="C76" s="26" t="s">
        <v>37</v>
      </c>
      <c r="D76" s="46" t="s">
        <v>36</v>
      </c>
      <c r="E76" s="24">
        <f>'Take Off'!E45</f>
        <v>60.69</v>
      </c>
      <c r="F76" s="23">
        <v>3.9</v>
      </c>
      <c r="G76" s="194">
        <f>F76*E76</f>
        <v>236.69099999999997</v>
      </c>
      <c r="H76" s="32"/>
      <c r="I76" s="334"/>
      <c r="J76" s="32"/>
      <c r="L76" s="165"/>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c r="HE76" s="32"/>
      <c r="HF76" s="32"/>
      <c r="HG76" s="32"/>
      <c r="HH76" s="32"/>
      <c r="HI76" s="32"/>
      <c r="HJ76" s="32"/>
      <c r="HK76" s="32"/>
      <c r="HL76" s="32"/>
      <c r="HM76" s="32"/>
      <c r="HN76" s="32"/>
      <c r="HO76" s="32"/>
      <c r="HP76" s="32"/>
    </row>
    <row r="77" spans="2:224" x14ac:dyDescent="0.5">
      <c r="B77" s="146"/>
      <c r="C77" s="26"/>
      <c r="D77" s="46"/>
      <c r="E77" s="24"/>
      <c r="F77" s="23"/>
      <c r="G77" s="194"/>
    </row>
    <row r="78" spans="2:224" x14ac:dyDescent="0.5">
      <c r="B78" s="146">
        <v>13</v>
      </c>
      <c r="C78" s="26" t="s">
        <v>38</v>
      </c>
      <c r="D78" s="46" t="s">
        <v>39</v>
      </c>
      <c r="E78" s="24">
        <f>+'Take Off'!E54</f>
        <v>11.424000000000001</v>
      </c>
      <c r="F78" s="23">
        <v>3</v>
      </c>
      <c r="G78" s="194">
        <f>F78*E78</f>
        <v>34.272000000000006</v>
      </c>
      <c r="H78" s="32"/>
      <c r="I78" s="334"/>
      <c r="J78" s="32"/>
      <c r="L78" s="165"/>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row>
    <row r="79" spans="2:224" x14ac:dyDescent="0.5">
      <c r="B79" s="146"/>
      <c r="C79" s="26"/>
      <c r="D79" s="46"/>
      <c r="E79" s="24"/>
      <c r="F79" s="23"/>
      <c r="G79" s="194"/>
      <c r="H79" s="32"/>
      <c r="I79" s="334"/>
      <c r="J79" s="32"/>
      <c r="L79" s="165"/>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c r="HE79" s="32"/>
      <c r="HF79" s="32"/>
      <c r="HG79" s="32"/>
      <c r="HH79" s="32"/>
      <c r="HI79" s="32"/>
      <c r="HJ79" s="32"/>
      <c r="HK79" s="32"/>
      <c r="HL79" s="32"/>
      <c r="HM79" s="32"/>
      <c r="HN79" s="32"/>
      <c r="HO79" s="32"/>
      <c r="HP79" s="32"/>
    </row>
    <row r="80" spans="2:224" x14ac:dyDescent="0.5">
      <c r="B80" s="146">
        <v>14</v>
      </c>
      <c r="C80" s="26" t="s">
        <v>328</v>
      </c>
      <c r="D80" s="46" t="s">
        <v>329</v>
      </c>
      <c r="E80" s="24">
        <f>'Take Off'!C29</f>
        <v>2526.8465835196689</v>
      </c>
      <c r="F80" s="23">
        <v>0.65</v>
      </c>
      <c r="G80" s="194">
        <f>E80*F80</f>
        <v>1642.450279287785</v>
      </c>
      <c r="H80" s="32"/>
      <c r="I80" s="334"/>
      <c r="J80" s="32"/>
      <c r="L80" s="165"/>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c r="HE80" s="32"/>
      <c r="HF80" s="32"/>
      <c r="HG80" s="32"/>
      <c r="HH80" s="32"/>
      <c r="HI80" s="32"/>
      <c r="HJ80" s="32"/>
      <c r="HK80" s="32"/>
      <c r="HL80" s="32"/>
      <c r="HM80" s="32"/>
      <c r="HN80" s="32"/>
      <c r="HO80" s="32"/>
      <c r="HP80" s="32"/>
    </row>
    <row r="81" spans="2:224" x14ac:dyDescent="0.5">
      <c r="B81" s="146"/>
      <c r="C81" s="26"/>
      <c r="D81" s="46"/>
      <c r="E81" s="24"/>
      <c r="F81" s="23"/>
      <c r="G81" s="194"/>
      <c r="H81" s="32"/>
      <c r="I81" s="334"/>
      <c r="J81" s="32"/>
      <c r="L81" s="165"/>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c r="HE81" s="32"/>
      <c r="HF81" s="32"/>
      <c r="HG81" s="32"/>
      <c r="HH81" s="32"/>
      <c r="HI81" s="32"/>
      <c r="HJ81" s="32"/>
      <c r="HK81" s="32"/>
      <c r="HL81" s="32"/>
      <c r="HM81" s="32"/>
      <c r="HN81" s="32"/>
      <c r="HO81" s="32"/>
      <c r="HP81" s="32"/>
    </row>
    <row r="82" spans="2:224" ht="17.25" x14ac:dyDescent="0.45">
      <c r="B82" s="380" t="s">
        <v>27</v>
      </c>
      <c r="C82" s="381"/>
      <c r="D82" s="381"/>
      <c r="E82" s="381"/>
      <c r="F82" s="382"/>
      <c r="G82" s="301">
        <f>SUM(G54:G81)</f>
        <v>9145.7778582074152</v>
      </c>
      <c r="H82" s="32"/>
      <c r="I82" s="334"/>
      <c r="J82" s="32"/>
      <c r="L82" s="165"/>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c r="HE82" s="32"/>
      <c r="HF82" s="32"/>
      <c r="HG82" s="32"/>
      <c r="HH82" s="32"/>
      <c r="HI82" s="32"/>
      <c r="HJ82" s="32"/>
      <c r="HK82" s="32"/>
      <c r="HL82" s="32"/>
      <c r="HM82" s="32"/>
      <c r="HN82" s="32"/>
      <c r="HO82" s="32"/>
      <c r="HP82" s="32"/>
    </row>
    <row r="83" spans="2:224" ht="17.25" x14ac:dyDescent="0.45">
      <c r="B83" s="153"/>
      <c r="C83" s="148"/>
      <c r="D83" s="149"/>
      <c r="E83" s="150"/>
      <c r="F83" s="133"/>
      <c r="G83" s="195"/>
      <c r="H83" s="32"/>
      <c r="I83" s="334"/>
      <c r="J83" s="32"/>
      <c r="L83" s="165"/>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c r="HE83" s="32"/>
      <c r="HF83" s="32"/>
      <c r="HG83" s="32"/>
      <c r="HH83" s="32"/>
      <c r="HI83" s="32"/>
      <c r="HJ83" s="32"/>
      <c r="HK83" s="32"/>
      <c r="HL83" s="32"/>
      <c r="HM83" s="32"/>
      <c r="HN83" s="32"/>
      <c r="HO83" s="32"/>
      <c r="HP83" s="32"/>
    </row>
    <row r="84" spans="2:224" x14ac:dyDescent="0.5">
      <c r="B84" s="349" t="s">
        <v>40</v>
      </c>
      <c r="C84" s="350"/>
      <c r="D84" s="34"/>
      <c r="E84" s="35"/>
      <c r="F84" s="36"/>
      <c r="G84" s="196"/>
      <c r="H84" s="32"/>
      <c r="I84" s="334"/>
      <c r="J84" s="32"/>
      <c r="L84" s="165"/>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c r="HE84" s="32"/>
      <c r="HF84" s="32"/>
      <c r="HG84" s="32"/>
      <c r="HH84" s="32"/>
      <c r="HI84" s="32"/>
      <c r="HJ84" s="32"/>
      <c r="HK84" s="32"/>
      <c r="HL84" s="32"/>
      <c r="HM84" s="32"/>
      <c r="HN84" s="32"/>
      <c r="HO84" s="32"/>
      <c r="HP84" s="32"/>
    </row>
    <row r="85" spans="2:224" ht="17.25" x14ac:dyDescent="0.45">
      <c r="B85" s="291" t="s">
        <v>8</v>
      </c>
      <c r="C85" s="286" t="s">
        <v>240</v>
      </c>
      <c r="D85" s="287" t="s">
        <v>9</v>
      </c>
      <c r="E85" s="288" t="s">
        <v>10</v>
      </c>
      <c r="F85" s="289" t="s">
        <v>11</v>
      </c>
      <c r="G85" s="290" t="s">
        <v>12</v>
      </c>
      <c r="H85" s="32"/>
      <c r="I85" s="334"/>
      <c r="J85" s="32"/>
      <c r="L85" s="165"/>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c r="HE85" s="32"/>
      <c r="HF85" s="32"/>
      <c r="HG85" s="32"/>
      <c r="HH85" s="32"/>
      <c r="HI85" s="32"/>
      <c r="HJ85" s="32"/>
      <c r="HK85" s="32"/>
      <c r="HL85" s="32"/>
      <c r="HM85" s="32"/>
      <c r="HN85" s="32"/>
      <c r="HO85" s="32"/>
      <c r="HP85" s="32"/>
    </row>
    <row r="86" spans="2:224" x14ac:dyDescent="0.5">
      <c r="B86" s="146"/>
      <c r="C86" s="37" t="s">
        <v>41</v>
      </c>
      <c r="D86" s="38"/>
      <c r="E86" s="22"/>
      <c r="F86" s="44"/>
      <c r="G86" s="194"/>
      <c r="H86" s="32"/>
      <c r="I86" s="334"/>
      <c r="J86" s="32"/>
      <c r="L86" s="165"/>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c r="GT86" s="32"/>
      <c r="GU86" s="32"/>
      <c r="GV86" s="32"/>
      <c r="GW86" s="32"/>
      <c r="GX86" s="32"/>
      <c r="GY86" s="32"/>
      <c r="GZ86" s="32"/>
      <c r="HA86" s="32"/>
      <c r="HB86" s="32"/>
      <c r="HC86" s="32"/>
      <c r="HD86" s="32"/>
      <c r="HE86" s="32"/>
      <c r="HF86" s="32"/>
      <c r="HG86" s="32"/>
      <c r="HH86" s="32"/>
      <c r="HI86" s="32"/>
      <c r="HJ86" s="32"/>
      <c r="HK86" s="32"/>
      <c r="HL86" s="32"/>
      <c r="HM86" s="32"/>
      <c r="HN86" s="32"/>
      <c r="HO86" s="32"/>
      <c r="HP86" s="32"/>
    </row>
    <row r="87" spans="2:224" x14ac:dyDescent="0.5">
      <c r="B87" s="146"/>
      <c r="C87" s="45"/>
      <c r="D87" s="46"/>
      <c r="E87" s="22"/>
      <c r="F87" s="44"/>
      <c r="G87" s="194"/>
      <c r="H87" s="32"/>
      <c r="I87" s="334"/>
      <c r="J87" s="32"/>
      <c r="L87" s="165"/>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c r="GT87" s="32"/>
      <c r="GU87" s="32"/>
      <c r="GV87" s="32"/>
      <c r="GW87" s="32"/>
      <c r="GX87" s="32"/>
      <c r="GY87" s="32"/>
      <c r="GZ87" s="32"/>
      <c r="HA87" s="32"/>
      <c r="HB87" s="32"/>
      <c r="HC87" s="32"/>
      <c r="HD87" s="32"/>
      <c r="HE87" s="32"/>
      <c r="HF87" s="32"/>
      <c r="HG87" s="32"/>
      <c r="HH87" s="32"/>
      <c r="HI87" s="32"/>
      <c r="HJ87" s="32"/>
      <c r="HK87" s="32"/>
      <c r="HL87" s="32"/>
      <c r="HM87" s="32"/>
      <c r="HN87" s="32"/>
      <c r="HO87" s="32"/>
      <c r="HP87" s="32"/>
    </row>
    <row r="88" spans="2:224" ht="69.400000000000006" x14ac:dyDescent="0.5">
      <c r="B88" s="146"/>
      <c r="C88" s="47" t="s">
        <v>286</v>
      </c>
      <c r="D88" s="38"/>
      <c r="E88" s="22"/>
      <c r="F88" s="44"/>
      <c r="G88" s="194"/>
      <c r="H88" s="32"/>
      <c r="I88" s="334"/>
      <c r="J88" s="32"/>
      <c r="L88" s="165"/>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c r="HE88" s="32"/>
      <c r="HF88" s="32"/>
      <c r="HG88" s="32"/>
      <c r="HH88" s="32"/>
      <c r="HI88" s="32"/>
      <c r="HJ88" s="32"/>
      <c r="HK88" s="32"/>
      <c r="HL88" s="32"/>
      <c r="HM88" s="32"/>
      <c r="HN88" s="32"/>
      <c r="HO88" s="32"/>
      <c r="HP88" s="32"/>
    </row>
    <row r="89" spans="2:224" x14ac:dyDescent="0.5">
      <c r="B89" s="146"/>
      <c r="C89" s="25"/>
      <c r="D89" s="227"/>
      <c r="E89" s="227"/>
      <c r="F89" s="230"/>
      <c r="G89" s="194"/>
      <c r="H89" s="32"/>
      <c r="I89" s="334"/>
      <c r="J89" s="32"/>
      <c r="L89" s="165"/>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row>
    <row r="90" spans="2:224" ht="17.45" customHeight="1" x14ac:dyDescent="0.5">
      <c r="B90" s="146">
        <v>1</v>
      </c>
      <c r="C90" s="25" t="s">
        <v>42</v>
      </c>
      <c r="D90" s="227" t="s">
        <v>15</v>
      </c>
      <c r="E90" s="227">
        <v>10</v>
      </c>
      <c r="F90" s="230">
        <v>35</v>
      </c>
      <c r="G90" s="194">
        <f>F90*E90</f>
        <v>350</v>
      </c>
      <c r="I90" s="334"/>
      <c r="J90" s="32"/>
      <c r="L90" s="165"/>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row>
    <row r="91" spans="2:224" x14ac:dyDescent="0.5">
      <c r="B91" s="146"/>
      <c r="C91" s="25"/>
      <c r="D91" s="227"/>
      <c r="E91" s="227"/>
      <c r="F91" s="230"/>
      <c r="G91" s="194"/>
      <c r="I91" s="334"/>
      <c r="J91" s="32"/>
      <c r="L91" s="165"/>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row>
    <row r="92" spans="2:224" x14ac:dyDescent="0.5">
      <c r="B92" s="155">
        <v>2</v>
      </c>
      <c r="C92" s="25" t="s">
        <v>294</v>
      </c>
      <c r="D92" s="227" t="s">
        <v>15</v>
      </c>
      <c r="E92" s="227">
        <v>2</v>
      </c>
      <c r="F92" s="230">
        <v>54</v>
      </c>
      <c r="G92" s="194">
        <f>F92*E92</f>
        <v>108</v>
      </c>
      <c r="I92" s="334"/>
      <c r="J92" s="32"/>
      <c r="L92" s="165"/>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row>
    <row r="93" spans="2:224" ht="15.4" x14ac:dyDescent="0.45">
      <c r="B93" s="155"/>
      <c r="C93" s="49"/>
      <c r="D93" s="22"/>
      <c r="E93" s="22"/>
      <c r="F93" s="44"/>
      <c r="G93" s="197"/>
      <c r="I93" s="334"/>
      <c r="J93" s="32"/>
      <c r="L93" s="165"/>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c r="HE93" s="32"/>
      <c r="HF93" s="32"/>
      <c r="HG93" s="32"/>
      <c r="HH93" s="32"/>
      <c r="HI93" s="32"/>
      <c r="HJ93" s="32"/>
      <c r="HK93" s="32"/>
      <c r="HL93" s="32"/>
      <c r="HM93" s="32"/>
      <c r="HN93" s="32"/>
      <c r="HO93" s="32"/>
      <c r="HP93" s="32"/>
    </row>
    <row r="94" spans="2:224" ht="27" customHeight="1" x14ac:dyDescent="0.45">
      <c r="B94" s="380" t="s">
        <v>43</v>
      </c>
      <c r="C94" s="381"/>
      <c r="D94" s="381"/>
      <c r="E94" s="381"/>
      <c r="F94" s="382"/>
      <c r="G94" s="302">
        <f>SUM(G90:G93)</f>
        <v>458</v>
      </c>
      <c r="I94" s="334"/>
      <c r="J94" s="32"/>
      <c r="L94" s="165"/>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row>
    <row r="95" spans="2:224" ht="14.25" customHeight="1" x14ac:dyDescent="0.45">
      <c r="B95" s="154"/>
      <c r="C95" s="148"/>
      <c r="D95" s="149"/>
      <c r="E95" s="150"/>
      <c r="F95" s="133"/>
      <c r="G95" s="195"/>
      <c r="I95" s="334"/>
      <c r="J95" s="32"/>
      <c r="L95" s="165"/>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c r="HE95" s="32"/>
      <c r="HF95" s="32"/>
      <c r="HG95" s="32"/>
      <c r="HH95" s="32"/>
      <c r="HI95" s="32"/>
      <c r="HJ95" s="32"/>
      <c r="HK95" s="32"/>
      <c r="HL95" s="32"/>
      <c r="HM95" s="32"/>
      <c r="HN95" s="32"/>
      <c r="HO95" s="32"/>
      <c r="HP95" s="32"/>
    </row>
    <row r="96" spans="2:224" ht="14.25" customHeight="1" x14ac:dyDescent="0.5">
      <c r="B96" s="349" t="s">
        <v>106</v>
      </c>
      <c r="C96" s="350"/>
      <c r="D96" s="34"/>
      <c r="E96" s="35"/>
      <c r="F96" s="36"/>
      <c r="G96" s="192"/>
      <c r="I96" s="334"/>
      <c r="J96" s="32"/>
      <c r="L96" s="165"/>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c r="HE96" s="32"/>
      <c r="HF96" s="32"/>
      <c r="HG96" s="32"/>
      <c r="HH96" s="32"/>
      <c r="HI96" s="32"/>
      <c r="HJ96" s="32"/>
      <c r="HK96" s="32"/>
      <c r="HL96" s="32"/>
      <c r="HM96" s="32"/>
      <c r="HN96" s="32"/>
      <c r="HO96" s="32"/>
      <c r="HP96" s="32"/>
    </row>
    <row r="97" spans="2:224" ht="17.25" x14ac:dyDescent="0.45">
      <c r="B97" s="285" t="s">
        <v>8</v>
      </c>
      <c r="C97" s="286" t="s">
        <v>240</v>
      </c>
      <c r="D97" s="287" t="s">
        <v>9</v>
      </c>
      <c r="E97" s="288" t="s">
        <v>10</v>
      </c>
      <c r="F97" s="289" t="s">
        <v>11</v>
      </c>
      <c r="G97" s="290" t="s">
        <v>12</v>
      </c>
      <c r="I97" s="334"/>
      <c r="J97" s="32"/>
      <c r="L97" s="165"/>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c r="HE97" s="32"/>
      <c r="HF97" s="32"/>
      <c r="HG97" s="32"/>
      <c r="HH97" s="32"/>
      <c r="HI97" s="32"/>
      <c r="HJ97" s="32"/>
      <c r="HK97" s="32"/>
      <c r="HL97" s="32"/>
      <c r="HM97" s="32"/>
      <c r="HN97" s="32"/>
      <c r="HO97" s="32"/>
      <c r="HP97" s="32"/>
    </row>
    <row r="98" spans="2:224" ht="19.899999999999999" x14ac:dyDescent="0.5">
      <c r="B98" s="154"/>
      <c r="C98" s="50" t="s">
        <v>44</v>
      </c>
      <c r="D98" s="51"/>
      <c r="E98" s="52"/>
      <c r="F98" s="53"/>
      <c r="G98" s="198"/>
      <c r="I98" s="334"/>
      <c r="J98" s="32"/>
      <c r="L98" s="165"/>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c r="HE98" s="32"/>
      <c r="HF98" s="32"/>
      <c r="HG98" s="32"/>
      <c r="HH98" s="32"/>
      <c r="HI98" s="32"/>
      <c r="HJ98" s="32"/>
      <c r="HK98" s="32"/>
      <c r="HL98" s="32"/>
      <c r="HM98" s="32"/>
      <c r="HN98" s="32"/>
      <c r="HO98" s="32"/>
      <c r="HP98" s="32"/>
    </row>
    <row r="99" spans="2:224" ht="52.15" x14ac:dyDescent="0.5">
      <c r="B99" s="154"/>
      <c r="C99" s="54" t="s">
        <v>45</v>
      </c>
      <c r="D99" s="51"/>
      <c r="E99" s="52"/>
      <c r="F99" s="53"/>
      <c r="G99" s="198"/>
      <c r="I99" s="334"/>
      <c r="J99" s="32"/>
      <c r="L99" s="165"/>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c r="HE99" s="32"/>
      <c r="HF99" s="32"/>
      <c r="HG99" s="32"/>
      <c r="HH99" s="32"/>
      <c r="HI99" s="32"/>
      <c r="HJ99" s="32"/>
      <c r="HK99" s="32"/>
      <c r="HL99" s="32"/>
      <c r="HM99" s="32"/>
      <c r="HN99" s="32"/>
      <c r="HO99" s="32"/>
      <c r="HP99" s="32"/>
    </row>
    <row r="100" spans="2:224" x14ac:dyDescent="0.5">
      <c r="B100" s="154"/>
      <c r="C100" s="55"/>
      <c r="D100" s="51"/>
      <c r="E100" s="52"/>
      <c r="F100" s="53"/>
      <c r="G100" s="198"/>
      <c r="I100" s="334"/>
      <c r="J100" s="32"/>
      <c r="L100" s="165"/>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32"/>
      <c r="HD100" s="32"/>
      <c r="HE100" s="32"/>
      <c r="HF100" s="32"/>
      <c r="HG100" s="32"/>
      <c r="HH100" s="32"/>
      <c r="HI100" s="32"/>
      <c r="HJ100" s="32"/>
      <c r="HK100" s="32"/>
      <c r="HL100" s="32"/>
      <c r="HM100" s="32"/>
      <c r="HN100" s="32"/>
      <c r="HO100" s="32"/>
      <c r="HP100" s="32"/>
    </row>
    <row r="101" spans="2:224" x14ac:dyDescent="0.5">
      <c r="B101" s="231">
        <v>1</v>
      </c>
      <c r="C101" s="56" t="s">
        <v>19</v>
      </c>
      <c r="D101" s="232" t="s">
        <v>20</v>
      </c>
      <c r="E101" s="233">
        <f>'Take Off'!E22+'Take Off'!E33</f>
        <v>71.871926759834366</v>
      </c>
      <c r="F101" s="234">
        <f>F58</f>
        <v>12.5</v>
      </c>
      <c r="G101" s="198">
        <f>F101*E101</f>
        <v>898.39908449792961</v>
      </c>
      <c r="I101" s="334"/>
      <c r="J101" s="32"/>
      <c r="L101" s="165"/>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32"/>
      <c r="HD101" s="32"/>
      <c r="HE101" s="32"/>
      <c r="HF101" s="32"/>
      <c r="HG101" s="32"/>
      <c r="HH101" s="32"/>
      <c r="HI101" s="32"/>
      <c r="HJ101" s="32"/>
      <c r="HK101" s="32"/>
      <c r="HL101" s="32"/>
      <c r="HM101" s="32"/>
      <c r="HN101" s="32"/>
      <c r="HO101" s="32"/>
      <c r="HP101" s="32"/>
    </row>
    <row r="102" spans="2:224" ht="17.45" customHeight="1" x14ac:dyDescent="0.5">
      <c r="B102" s="231"/>
      <c r="C102" s="56"/>
      <c r="D102" s="235"/>
      <c r="E102" s="236"/>
      <c r="F102" s="234"/>
      <c r="G102" s="198"/>
      <c r="I102" s="334"/>
      <c r="J102" s="32"/>
      <c r="L102" s="165"/>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c r="GT102" s="32"/>
      <c r="GU102" s="32"/>
      <c r="GV102" s="32"/>
      <c r="GW102" s="32"/>
      <c r="GX102" s="32"/>
      <c r="GY102" s="32"/>
      <c r="GZ102" s="32"/>
      <c r="HA102" s="32"/>
      <c r="HB102" s="32"/>
      <c r="HC102" s="32"/>
      <c r="HD102" s="32"/>
      <c r="HE102" s="32"/>
      <c r="HF102" s="32"/>
      <c r="HG102" s="32"/>
      <c r="HH102" s="32"/>
      <c r="HI102" s="32"/>
      <c r="HJ102" s="32"/>
      <c r="HK102" s="32"/>
      <c r="HL102" s="32"/>
      <c r="HM102" s="32"/>
      <c r="HN102" s="32"/>
      <c r="HO102" s="32"/>
      <c r="HP102" s="32"/>
    </row>
    <row r="103" spans="2:224" x14ac:dyDescent="0.5">
      <c r="B103" s="231">
        <v>2</v>
      </c>
      <c r="C103" s="56" t="s">
        <v>46</v>
      </c>
      <c r="D103" s="236" t="s">
        <v>287</v>
      </c>
      <c r="E103" s="233">
        <v>15</v>
      </c>
      <c r="F103" s="234">
        <f>F31</f>
        <v>20</v>
      </c>
      <c r="G103" s="198">
        <f>F103*E103</f>
        <v>300</v>
      </c>
      <c r="I103" s="334"/>
      <c r="J103" s="32"/>
      <c r="L103" s="165"/>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c r="GT103" s="32"/>
      <c r="GU103" s="32"/>
      <c r="GV103" s="32"/>
      <c r="GW103" s="32"/>
      <c r="GX103" s="32"/>
      <c r="GY103" s="32"/>
      <c r="GZ103" s="32"/>
      <c r="HA103" s="32"/>
      <c r="HB103" s="32"/>
      <c r="HC103" s="32"/>
      <c r="HD103" s="32"/>
      <c r="HE103" s="32"/>
      <c r="HF103" s="32"/>
      <c r="HG103" s="32"/>
      <c r="HH103" s="32"/>
      <c r="HI103" s="32"/>
      <c r="HJ103" s="32"/>
      <c r="HK103" s="32"/>
      <c r="HL103" s="32"/>
      <c r="HM103" s="32"/>
      <c r="HN103" s="32"/>
      <c r="HO103" s="32"/>
      <c r="HP103" s="32"/>
    </row>
    <row r="104" spans="2:224" x14ac:dyDescent="0.5">
      <c r="B104" s="231"/>
      <c r="C104" s="56"/>
      <c r="D104" s="236"/>
      <c r="E104" s="236"/>
      <c r="F104" s="234"/>
      <c r="G104" s="198"/>
    </row>
    <row r="105" spans="2:224" x14ac:dyDescent="0.5">
      <c r="B105" s="231">
        <v>3</v>
      </c>
      <c r="C105" s="56" t="s">
        <v>47</v>
      </c>
      <c r="D105" s="236" t="s">
        <v>15</v>
      </c>
      <c r="E105" s="236">
        <v>24</v>
      </c>
      <c r="F105" s="234">
        <v>0.65</v>
      </c>
      <c r="G105" s="198">
        <f>F105*E105</f>
        <v>15.600000000000001</v>
      </c>
      <c r="I105" s="334"/>
      <c r="J105" s="32"/>
      <c r="L105" s="165"/>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c r="GT105" s="32"/>
      <c r="GU105" s="32"/>
      <c r="GV105" s="32"/>
      <c r="GW105" s="32"/>
      <c r="GX105" s="32"/>
      <c r="GY105" s="32"/>
      <c r="GZ105" s="32"/>
      <c r="HA105" s="32"/>
      <c r="HB105" s="32"/>
      <c r="HC105" s="32"/>
      <c r="HD105" s="32"/>
      <c r="HE105" s="32"/>
      <c r="HF105" s="32"/>
      <c r="HG105" s="32"/>
      <c r="HH105" s="32"/>
      <c r="HI105" s="32"/>
      <c r="HJ105" s="32"/>
      <c r="HK105" s="32"/>
      <c r="HL105" s="32"/>
      <c r="HM105" s="32"/>
      <c r="HN105" s="32"/>
      <c r="HO105" s="32"/>
      <c r="HP105" s="32"/>
    </row>
    <row r="106" spans="2:224" x14ac:dyDescent="0.5">
      <c r="B106" s="231"/>
      <c r="C106" s="56"/>
      <c r="D106" s="236"/>
      <c r="E106" s="236"/>
      <c r="F106" s="234"/>
      <c r="G106" s="198"/>
      <c r="I106" s="334"/>
      <c r="J106" s="32"/>
      <c r="L106" s="165"/>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c r="GT106" s="32"/>
      <c r="GU106" s="32"/>
      <c r="GV106" s="32"/>
      <c r="GW106" s="32"/>
      <c r="GX106" s="32"/>
      <c r="GY106" s="32"/>
      <c r="GZ106" s="32"/>
      <c r="HA106" s="32"/>
      <c r="HB106" s="32"/>
      <c r="HC106" s="32"/>
      <c r="HD106" s="32"/>
      <c r="HE106" s="32"/>
      <c r="HF106" s="32"/>
      <c r="HG106" s="32"/>
      <c r="HH106" s="32"/>
      <c r="HI106" s="32"/>
      <c r="HJ106" s="32"/>
      <c r="HK106" s="32"/>
      <c r="HL106" s="32"/>
      <c r="HM106" s="32"/>
      <c r="HN106" s="32"/>
      <c r="HO106" s="32"/>
      <c r="HP106" s="32"/>
    </row>
    <row r="107" spans="2:224" ht="19.899999999999999" x14ac:dyDescent="0.5">
      <c r="B107" s="154"/>
      <c r="C107" s="50" t="s">
        <v>48</v>
      </c>
      <c r="D107" s="51"/>
      <c r="E107" s="52"/>
      <c r="F107" s="53"/>
      <c r="G107" s="198"/>
    </row>
    <row r="108" spans="2:224" ht="52.15" x14ac:dyDescent="0.5">
      <c r="B108" s="154"/>
      <c r="C108" s="54" t="s">
        <v>274</v>
      </c>
      <c r="D108" s="57"/>
      <c r="E108" s="52"/>
      <c r="F108" s="53"/>
      <c r="G108" s="198"/>
    </row>
    <row r="109" spans="2:224" x14ac:dyDescent="0.5">
      <c r="B109" s="154"/>
      <c r="C109" s="55"/>
      <c r="D109" s="57"/>
      <c r="E109" s="52"/>
      <c r="F109" s="53"/>
      <c r="G109" s="198"/>
    </row>
    <row r="110" spans="2:224" x14ac:dyDescent="0.5">
      <c r="B110" s="231">
        <v>1</v>
      </c>
      <c r="C110" s="56" t="s">
        <v>19</v>
      </c>
      <c r="D110" s="232" t="s">
        <v>20</v>
      </c>
      <c r="E110" s="233">
        <f>'Take Off'!F22+'Take Off'!F33+8</f>
        <v>36.025362318840585</v>
      </c>
      <c r="F110" s="234">
        <f>+F37</f>
        <v>12.5</v>
      </c>
      <c r="G110" s="198">
        <f>F110*E110</f>
        <v>450.31702898550731</v>
      </c>
      <c r="H110" s="32"/>
      <c r="I110" s="334"/>
      <c r="J110" s="32"/>
      <c r="L110" s="165"/>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c r="GT110" s="32"/>
      <c r="GU110" s="32"/>
      <c r="GV110" s="32"/>
      <c r="GW110" s="32"/>
      <c r="GX110" s="32"/>
      <c r="GY110" s="32"/>
      <c r="GZ110" s="32"/>
      <c r="HA110" s="32"/>
      <c r="HB110" s="32"/>
      <c r="HC110" s="32"/>
      <c r="HD110" s="32"/>
      <c r="HE110" s="32"/>
      <c r="HF110" s="32"/>
      <c r="HG110" s="32"/>
      <c r="HH110" s="32"/>
      <c r="HI110" s="32"/>
      <c r="HJ110" s="32"/>
      <c r="HK110" s="32"/>
      <c r="HL110" s="32"/>
      <c r="HM110" s="32"/>
      <c r="HN110" s="32"/>
      <c r="HO110" s="32"/>
      <c r="HP110" s="32"/>
    </row>
    <row r="111" spans="2:224" x14ac:dyDescent="0.5">
      <c r="B111" s="231"/>
      <c r="C111" s="56"/>
      <c r="D111" s="236"/>
      <c r="E111" s="236"/>
      <c r="F111" s="234"/>
      <c r="G111" s="198"/>
    </row>
    <row r="112" spans="2:224" x14ac:dyDescent="0.5">
      <c r="B112" s="231">
        <v>2</v>
      </c>
      <c r="C112" s="56" t="s">
        <v>46</v>
      </c>
      <c r="D112" s="236" t="s">
        <v>287</v>
      </c>
      <c r="E112" s="233">
        <f>'Take Off'!D52</f>
        <v>10.509510869565219</v>
      </c>
      <c r="F112" s="234">
        <f>F103</f>
        <v>20</v>
      </c>
      <c r="G112" s="198">
        <f>F112*E112</f>
        <v>210.19021739130437</v>
      </c>
      <c r="H112" s="32"/>
      <c r="I112" s="334"/>
      <c r="J112" s="32"/>
      <c r="L112" s="165"/>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32"/>
      <c r="HD112" s="32"/>
      <c r="HE112" s="32"/>
      <c r="HF112" s="32"/>
      <c r="HG112" s="32"/>
      <c r="HH112" s="32"/>
      <c r="HI112" s="32"/>
      <c r="HJ112" s="32"/>
      <c r="HK112" s="32"/>
      <c r="HL112" s="32"/>
      <c r="HM112" s="32"/>
      <c r="HN112" s="32"/>
      <c r="HO112" s="32"/>
      <c r="HP112" s="32"/>
    </row>
    <row r="113" spans="2:224" x14ac:dyDescent="0.5">
      <c r="B113" s="231"/>
      <c r="C113" s="56"/>
      <c r="D113" s="236"/>
      <c r="E113" s="236"/>
      <c r="F113" s="234"/>
      <c r="G113" s="198"/>
      <c r="H113" s="32"/>
      <c r="I113" s="334"/>
      <c r="J113" s="32"/>
      <c r="L113" s="165"/>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c r="GT113" s="32"/>
      <c r="GU113" s="32"/>
      <c r="GV113" s="32"/>
      <c r="GW113" s="32"/>
      <c r="GX113" s="32"/>
      <c r="GY113" s="32"/>
      <c r="GZ113" s="32"/>
      <c r="HA113" s="32"/>
      <c r="HB113" s="32"/>
      <c r="HC113" s="32"/>
      <c r="HD113" s="32"/>
      <c r="HE113" s="32"/>
      <c r="HF113" s="32"/>
      <c r="HG113" s="32"/>
      <c r="HH113" s="32"/>
      <c r="HI113" s="32"/>
      <c r="HJ113" s="32"/>
      <c r="HK113" s="32"/>
      <c r="HL113" s="32"/>
      <c r="HM113" s="32"/>
      <c r="HN113" s="32"/>
      <c r="HO113" s="32"/>
      <c r="HP113" s="32"/>
    </row>
    <row r="114" spans="2:224" x14ac:dyDescent="0.5">
      <c r="B114" s="231">
        <v>3</v>
      </c>
      <c r="C114" s="56" t="s">
        <v>49</v>
      </c>
      <c r="D114" s="236" t="s">
        <v>15</v>
      </c>
      <c r="E114" s="236">
        <f>+E105</f>
        <v>24</v>
      </c>
      <c r="F114" s="234">
        <v>0.65</v>
      </c>
      <c r="G114" s="198">
        <f>F114*E114</f>
        <v>15.600000000000001</v>
      </c>
      <c r="H114" s="32"/>
      <c r="I114" s="334"/>
      <c r="J114" s="32"/>
      <c r="L114" s="165"/>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c r="GT114" s="32"/>
      <c r="GU114" s="32"/>
      <c r="GV114" s="32"/>
      <c r="GW114" s="32"/>
      <c r="GX114" s="32"/>
      <c r="GY114" s="32"/>
      <c r="GZ114" s="32"/>
      <c r="HA114" s="32"/>
      <c r="HB114" s="32"/>
      <c r="HC114" s="32"/>
      <c r="HD114" s="32"/>
      <c r="HE114" s="32"/>
      <c r="HF114" s="32"/>
      <c r="HG114" s="32"/>
      <c r="HH114" s="32"/>
      <c r="HI114" s="32"/>
      <c r="HJ114" s="32"/>
      <c r="HK114" s="32"/>
      <c r="HL114" s="32"/>
      <c r="HM114" s="32"/>
      <c r="HN114" s="32"/>
      <c r="HO114" s="32"/>
      <c r="HP114" s="32"/>
    </row>
    <row r="115" spans="2:224" x14ac:dyDescent="0.5">
      <c r="B115" s="154"/>
      <c r="C115" s="56"/>
      <c r="D115" s="57"/>
      <c r="E115" s="52"/>
      <c r="F115" s="53"/>
      <c r="G115" s="198"/>
      <c r="H115" s="32"/>
      <c r="I115" s="334"/>
      <c r="J115" s="32"/>
      <c r="L115" s="165"/>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c r="GT115" s="32"/>
      <c r="GU115" s="32"/>
      <c r="GV115" s="32"/>
      <c r="GW115" s="32"/>
      <c r="GX115" s="32"/>
      <c r="GY115" s="32"/>
      <c r="GZ115" s="32"/>
      <c r="HA115" s="32"/>
      <c r="HB115" s="32"/>
      <c r="HC115" s="32"/>
      <c r="HD115" s="32"/>
      <c r="HE115" s="32"/>
      <c r="HF115" s="32"/>
      <c r="HG115" s="32"/>
      <c r="HH115" s="32"/>
      <c r="HI115" s="32"/>
      <c r="HJ115" s="32"/>
      <c r="HK115" s="32"/>
      <c r="HL115" s="32"/>
      <c r="HM115" s="32"/>
      <c r="HN115" s="32"/>
      <c r="HO115" s="32"/>
      <c r="HP115" s="32"/>
    </row>
    <row r="116" spans="2:224" ht="17.25" x14ac:dyDescent="0.45">
      <c r="B116" s="380" t="s">
        <v>27</v>
      </c>
      <c r="C116" s="381"/>
      <c r="D116" s="381"/>
      <c r="E116" s="381"/>
      <c r="F116" s="382"/>
      <c r="G116" s="303">
        <f>SUM(G101:G115)</f>
        <v>1890.1063308747412</v>
      </c>
    </row>
    <row r="117" spans="2:224" ht="17.25" x14ac:dyDescent="0.45">
      <c r="B117" s="153"/>
      <c r="C117" s="73"/>
      <c r="D117" s="74"/>
      <c r="E117" s="58"/>
      <c r="F117" s="59"/>
      <c r="G117" s="199"/>
    </row>
    <row r="118" spans="2:224" x14ac:dyDescent="0.5">
      <c r="B118" s="373" t="s">
        <v>241</v>
      </c>
      <c r="C118" s="374"/>
      <c r="D118" s="34"/>
      <c r="E118" s="35"/>
      <c r="F118" s="36"/>
      <c r="G118" s="192"/>
      <c r="H118" s="32"/>
      <c r="I118" s="334"/>
      <c r="J118" s="32"/>
      <c r="L118" s="165"/>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c r="GT118" s="32"/>
      <c r="GU118" s="32"/>
      <c r="GV118" s="32"/>
      <c r="GW118" s="32"/>
      <c r="GX118" s="32"/>
      <c r="GY118" s="32"/>
      <c r="GZ118" s="32"/>
      <c r="HA118" s="32"/>
      <c r="HB118" s="32"/>
      <c r="HC118" s="32"/>
      <c r="HD118" s="32"/>
      <c r="HE118" s="32"/>
      <c r="HF118" s="32"/>
      <c r="HG118" s="32"/>
      <c r="HH118" s="32"/>
      <c r="HI118" s="32"/>
      <c r="HJ118" s="32"/>
      <c r="HK118" s="32"/>
      <c r="HL118" s="32"/>
      <c r="HM118" s="32"/>
      <c r="HN118" s="32"/>
      <c r="HO118" s="32"/>
      <c r="HP118" s="32"/>
    </row>
    <row r="119" spans="2:224" ht="17.25" x14ac:dyDescent="0.45">
      <c r="B119" s="291" t="s">
        <v>8</v>
      </c>
      <c r="C119" s="286" t="s">
        <v>240</v>
      </c>
      <c r="D119" s="287" t="s">
        <v>9</v>
      </c>
      <c r="E119" s="288" t="s">
        <v>10</v>
      </c>
      <c r="F119" s="289" t="s">
        <v>11</v>
      </c>
      <c r="G119" s="290" t="s">
        <v>12</v>
      </c>
      <c r="H119" s="32"/>
      <c r="I119" s="334"/>
      <c r="J119" s="32"/>
      <c r="L119" s="165"/>
      <c r="M119" s="33"/>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c r="GT119" s="32"/>
      <c r="GU119" s="32"/>
      <c r="GV119" s="32"/>
      <c r="GW119" s="32"/>
      <c r="GX119" s="32"/>
      <c r="GY119" s="32"/>
      <c r="GZ119" s="32"/>
      <c r="HA119" s="32"/>
      <c r="HB119" s="32"/>
      <c r="HC119" s="32"/>
      <c r="HD119" s="32"/>
      <c r="HE119" s="32"/>
      <c r="HF119" s="32"/>
      <c r="HG119" s="32"/>
      <c r="HH119" s="32"/>
      <c r="HI119" s="32"/>
      <c r="HJ119" s="32"/>
      <c r="HK119" s="32"/>
      <c r="HL119" s="32"/>
      <c r="HM119" s="32"/>
      <c r="HN119" s="32"/>
      <c r="HO119" s="32"/>
      <c r="HP119" s="32"/>
    </row>
    <row r="120" spans="2:224" x14ac:dyDescent="0.5">
      <c r="B120" s="156"/>
      <c r="C120" s="71"/>
      <c r="D120" s="75"/>
      <c r="E120" s="60"/>
      <c r="F120" s="61"/>
      <c r="G120" s="200"/>
      <c r="H120" s="32"/>
      <c r="I120" s="334"/>
      <c r="J120" s="32"/>
      <c r="L120" s="165"/>
      <c r="M120" s="33"/>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c r="GT120" s="32"/>
      <c r="GU120" s="32"/>
      <c r="GV120" s="32"/>
      <c r="GW120" s="32"/>
      <c r="GX120" s="32"/>
      <c r="GY120" s="32"/>
      <c r="GZ120" s="32"/>
      <c r="HA120" s="32"/>
      <c r="HB120" s="32"/>
      <c r="HC120" s="32"/>
      <c r="HD120" s="32"/>
      <c r="HE120" s="32"/>
      <c r="HF120" s="32"/>
      <c r="HG120" s="32"/>
      <c r="HH120" s="32"/>
      <c r="HI120" s="32"/>
      <c r="HJ120" s="32"/>
      <c r="HK120" s="32"/>
      <c r="HL120" s="32"/>
      <c r="HM120" s="32"/>
      <c r="HN120" s="32"/>
      <c r="HO120" s="32"/>
      <c r="HP120" s="32"/>
    </row>
    <row r="121" spans="2:224" x14ac:dyDescent="0.5">
      <c r="B121" s="226">
        <v>1</v>
      </c>
      <c r="C121" s="21" t="s">
        <v>50</v>
      </c>
      <c r="D121" s="227" t="s">
        <v>20</v>
      </c>
      <c r="E121" s="229">
        <f>'Take Off'!D25</f>
        <v>68.8</v>
      </c>
      <c r="F121" s="228">
        <f>+F37</f>
        <v>12.5</v>
      </c>
      <c r="G121" s="194">
        <f>F121*E121</f>
        <v>860</v>
      </c>
      <c r="H121" s="32"/>
      <c r="I121" s="334"/>
      <c r="J121" s="32"/>
      <c r="L121" s="165"/>
      <c r="M121" s="33"/>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c r="GT121" s="32"/>
      <c r="GU121" s="32"/>
      <c r="GV121" s="32"/>
      <c r="GW121" s="32"/>
      <c r="GX121" s="32"/>
      <c r="GY121" s="32"/>
      <c r="GZ121" s="32"/>
      <c r="HA121" s="32"/>
      <c r="HB121" s="32"/>
      <c r="HC121" s="32"/>
      <c r="HD121" s="32"/>
      <c r="HE121" s="32"/>
      <c r="HF121" s="32"/>
      <c r="HG121" s="32"/>
      <c r="HH121" s="32"/>
      <c r="HI121" s="32"/>
      <c r="HJ121" s="32"/>
      <c r="HK121" s="32"/>
      <c r="HL121" s="32"/>
      <c r="HM121" s="32"/>
      <c r="HN121" s="32"/>
      <c r="HO121" s="32"/>
      <c r="HP121" s="32"/>
    </row>
    <row r="122" spans="2:224" x14ac:dyDescent="0.5">
      <c r="B122" s="226"/>
      <c r="C122" s="21"/>
      <c r="D122" s="227"/>
      <c r="E122" s="227"/>
      <c r="F122" s="228"/>
      <c r="G122" s="194"/>
      <c r="H122" s="32"/>
      <c r="I122" s="334"/>
      <c r="J122" s="32"/>
      <c r="L122" s="165"/>
      <c r="M122" s="33"/>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row>
    <row r="123" spans="2:224" x14ac:dyDescent="0.5">
      <c r="B123" s="226">
        <v>2</v>
      </c>
      <c r="C123" s="21" t="s">
        <v>30</v>
      </c>
      <c r="D123" s="227" t="s">
        <v>51</v>
      </c>
      <c r="E123" s="229">
        <f>'Take Off'!J22*0.05</f>
        <v>8.6</v>
      </c>
      <c r="F123" s="228">
        <f>F56</f>
        <v>20</v>
      </c>
      <c r="G123" s="194">
        <f>F123*E123</f>
        <v>172</v>
      </c>
      <c r="H123" s="32"/>
      <c r="I123" s="334"/>
      <c r="J123" s="32"/>
      <c r="L123" s="165"/>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c r="HE123" s="32"/>
      <c r="HF123" s="32"/>
      <c r="HG123" s="32"/>
      <c r="HH123" s="32"/>
      <c r="HI123" s="32"/>
      <c r="HJ123" s="32"/>
      <c r="HK123" s="32"/>
      <c r="HL123" s="32"/>
      <c r="HM123" s="32"/>
      <c r="HN123" s="32"/>
      <c r="HO123" s="32"/>
      <c r="HP123" s="32"/>
    </row>
    <row r="124" spans="2:224" ht="17.45" customHeight="1" x14ac:dyDescent="0.5">
      <c r="B124" s="146"/>
      <c r="C124" s="21"/>
      <c r="D124" s="46"/>
      <c r="E124" s="22"/>
      <c r="F124" s="23"/>
      <c r="G124" s="194"/>
      <c r="H124" s="32"/>
      <c r="I124" s="334"/>
      <c r="J124" s="32"/>
      <c r="L124" s="165"/>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c r="HE124" s="32"/>
      <c r="HF124" s="32"/>
      <c r="HG124" s="32"/>
      <c r="HH124" s="32"/>
      <c r="HI124" s="32"/>
      <c r="HJ124" s="32"/>
      <c r="HK124" s="32"/>
      <c r="HL124" s="32"/>
      <c r="HM124" s="32"/>
      <c r="HN124" s="32"/>
      <c r="HO124" s="32"/>
      <c r="HP124" s="32"/>
    </row>
    <row r="125" spans="2:224" ht="17.25" x14ac:dyDescent="0.45">
      <c r="B125" s="380" t="s">
        <v>27</v>
      </c>
      <c r="C125" s="381"/>
      <c r="D125" s="381"/>
      <c r="E125" s="381"/>
      <c r="F125" s="382"/>
      <c r="G125" s="301">
        <f>SUM(G121:G124)</f>
        <v>1032</v>
      </c>
      <c r="H125" s="32"/>
      <c r="I125" s="334"/>
      <c r="J125" s="32"/>
      <c r="L125" s="165"/>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c r="HE125" s="32"/>
      <c r="HF125" s="32"/>
      <c r="HG125" s="32"/>
      <c r="HH125" s="32"/>
      <c r="HI125" s="32"/>
      <c r="HJ125" s="32"/>
      <c r="HK125" s="32"/>
      <c r="HL125" s="32"/>
      <c r="HM125" s="32"/>
      <c r="HN125" s="32"/>
      <c r="HO125" s="32"/>
      <c r="HP125" s="32"/>
    </row>
    <row r="126" spans="2:224" ht="17.25" x14ac:dyDescent="0.45">
      <c r="B126" s="153"/>
      <c r="C126" s="73"/>
      <c r="D126" s="74"/>
      <c r="E126" s="58"/>
      <c r="F126" s="59"/>
      <c r="G126" s="199"/>
      <c r="H126" s="32"/>
      <c r="I126" s="334"/>
      <c r="J126" s="32"/>
      <c r="L126" s="165"/>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c r="GT126" s="32"/>
      <c r="GU126" s="32"/>
      <c r="GV126" s="32"/>
      <c r="GW126" s="32"/>
      <c r="GX126" s="32"/>
      <c r="GY126" s="32"/>
      <c r="GZ126" s="32"/>
      <c r="HA126" s="32"/>
      <c r="HB126" s="32"/>
      <c r="HC126" s="32"/>
      <c r="HD126" s="32"/>
      <c r="HE126" s="32"/>
      <c r="HF126" s="32"/>
      <c r="HG126" s="32"/>
      <c r="HH126" s="32"/>
      <c r="HI126" s="32"/>
      <c r="HJ126" s="32"/>
      <c r="HK126" s="32"/>
      <c r="HL126" s="32"/>
      <c r="HM126" s="32"/>
      <c r="HN126" s="32"/>
      <c r="HO126" s="32"/>
      <c r="HP126" s="32"/>
    </row>
    <row r="127" spans="2:224" x14ac:dyDescent="0.5">
      <c r="B127" s="373" t="s">
        <v>52</v>
      </c>
      <c r="C127" s="374"/>
      <c r="D127" s="34"/>
      <c r="E127" s="35"/>
      <c r="F127" s="65"/>
      <c r="G127" s="201"/>
      <c r="H127" s="32"/>
      <c r="I127" s="334"/>
      <c r="J127" s="32"/>
      <c r="L127" s="165"/>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c r="GT127" s="32"/>
      <c r="GU127" s="32"/>
      <c r="GV127" s="32"/>
      <c r="GW127" s="32"/>
      <c r="GX127" s="32"/>
      <c r="GY127" s="32"/>
      <c r="GZ127" s="32"/>
      <c r="HA127" s="32"/>
      <c r="HB127" s="32"/>
      <c r="HC127" s="32"/>
      <c r="HD127" s="32"/>
      <c r="HE127" s="32"/>
      <c r="HF127" s="32"/>
      <c r="HG127" s="32"/>
      <c r="HH127" s="32"/>
      <c r="HI127" s="32"/>
      <c r="HJ127" s="32"/>
      <c r="HK127" s="32"/>
      <c r="HL127" s="32"/>
      <c r="HM127" s="32"/>
      <c r="HN127" s="32"/>
      <c r="HO127" s="32"/>
      <c r="HP127" s="32"/>
    </row>
    <row r="128" spans="2:224" ht="17.25" x14ac:dyDescent="0.45">
      <c r="B128" s="291" t="s">
        <v>8</v>
      </c>
      <c r="C128" s="286" t="s">
        <v>240</v>
      </c>
      <c r="D128" s="287" t="s">
        <v>9</v>
      </c>
      <c r="E128" s="288" t="s">
        <v>10</v>
      </c>
      <c r="F128" s="289" t="s">
        <v>11</v>
      </c>
      <c r="G128" s="290" t="s">
        <v>12</v>
      </c>
      <c r="H128" s="32"/>
      <c r="I128" s="334"/>
      <c r="J128" s="32"/>
      <c r="L128" s="165"/>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c r="GT128" s="32"/>
      <c r="GU128" s="32"/>
      <c r="GV128" s="32"/>
      <c r="GW128" s="32"/>
      <c r="GX128" s="32"/>
      <c r="GY128" s="32"/>
      <c r="GZ128" s="32"/>
      <c r="HA128" s="32"/>
      <c r="HB128" s="32"/>
      <c r="HC128" s="32"/>
      <c r="HD128" s="32"/>
      <c r="HE128" s="32"/>
      <c r="HF128" s="32"/>
      <c r="HG128" s="32"/>
      <c r="HH128" s="32"/>
      <c r="HI128" s="32"/>
      <c r="HJ128" s="32"/>
      <c r="HK128" s="32"/>
      <c r="HL128" s="32"/>
      <c r="HM128" s="32"/>
      <c r="HN128" s="32"/>
      <c r="HO128" s="32"/>
      <c r="HP128" s="32"/>
    </row>
    <row r="129" spans="2:224" ht="15.4" x14ac:dyDescent="0.45">
      <c r="B129" s="157"/>
      <c r="C129" s="69" t="s">
        <v>306</v>
      </c>
      <c r="D129" s="68"/>
      <c r="E129" s="68"/>
      <c r="F129" s="70"/>
      <c r="G129" s="202"/>
      <c r="H129" s="32"/>
      <c r="I129" s="334"/>
      <c r="J129" s="32"/>
      <c r="L129" s="165"/>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c r="GT129" s="32"/>
      <c r="GU129" s="32"/>
      <c r="GV129" s="32"/>
      <c r="GW129" s="32"/>
      <c r="GX129" s="32"/>
      <c r="GY129" s="32"/>
      <c r="GZ129" s="32"/>
      <c r="HA129" s="32"/>
      <c r="HB129" s="32"/>
      <c r="HC129" s="32"/>
      <c r="HD129" s="32"/>
      <c r="HE129" s="32"/>
      <c r="HF129" s="32"/>
      <c r="HG129" s="32"/>
      <c r="HH129" s="32"/>
      <c r="HI129" s="32"/>
      <c r="HJ129" s="32"/>
      <c r="HK129" s="32"/>
      <c r="HL129" s="32"/>
      <c r="HM129" s="32"/>
      <c r="HN129" s="32"/>
      <c r="HO129" s="32"/>
      <c r="HP129" s="32"/>
    </row>
    <row r="130" spans="2:224" x14ac:dyDescent="0.5">
      <c r="B130" s="237">
        <v>1</v>
      </c>
      <c r="C130" s="123" t="s">
        <v>311</v>
      </c>
      <c r="D130" s="238" t="s">
        <v>15</v>
      </c>
      <c r="E130" s="238">
        <f>'Take Off'!D4*17</f>
        <v>2924</v>
      </c>
      <c r="F130" s="239">
        <v>0.95</v>
      </c>
      <c r="G130" s="203">
        <f>E130*F130</f>
        <v>2777.7999999999997</v>
      </c>
      <c r="H130" s="32"/>
      <c r="I130" s="334"/>
      <c r="J130" s="32"/>
      <c r="L130" s="165"/>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c r="GT130" s="32"/>
      <c r="GU130" s="32"/>
      <c r="GV130" s="32"/>
      <c r="GW130" s="32"/>
      <c r="GX130" s="32"/>
      <c r="GY130" s="32"/>
      <c r="GZ130" s="32"/>
      <c r="HA130" s="32"/>
      <c r="HB130" s="32"/>
      <c r="HC130" s="32"/>
      <c r="HD130" s="32"/>
      <c r="HE130" s="32"/>
      <c r="HF130" s="32"/>
      <c r="HG130" s="32"/>
      <c r="HH130" s="32"/>
      <c r="HI130" s="32"/>
      <c r="HJ130" s="32"/>
      <c r="HK130" s="32"/>
      <c r="HL130" s="32"/>
      <c r="HM130" s="32"/>
      <c r="HN130" s="32"/>
      <c r="HO130" s="32"/>
      <c r="HP130" s="32"/>
    </row>
    <row r="131" spans="2:224" x14ac:dyDescent="0.5">
      <c r="B131" s="237"/>
      <c r="C131" s="123"/>
      <c r="D131" s="238"/>
      <c r="E131" s="238"/>
      <c r="F131" s="239"/>
      <c r="G131" s="203"/>
      <c r="H131" s="32"/>
      <c r="I131" s="334"/>
      <c r="J131" s="32"/>
      <c r="L131" s="165"/>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c r="GT131" s="32"/>
      <c r="GU131" s="32"/>
      <c r="GV131" s="32"/>
      <c r="GW131" s="32"/>
      <c r="GX131" s="32"/>
      <c r="GY131" s="32"/>
      <c r="GZ131" s="32"/>
      <c r="HA131" s="32"/>
      <c r="HB131" s="32"/>
      <c r="HC131" s="32"/>
      <c r="HD131" s="32"/>
      <c r="HE131" s="32"/>
      <c r="HF131" s="32"/>
      <c r="HG131" s="32"/>
      <c r="HH131" s="32"/>
      <c r="HI131" s="32"/>
      <c r="HJ131" s="32"/>
      <c r="HK131" s="32"/>
      <c r="HL131" s="32"/>
      <c r="HM131" s="32"/>
      <c r="HN131" s="32"/>
      <c r="HO131" s="32"/>
      <c r="HP131" s="32"/>
    </row>
    <row r="132" spans="2:224" x14ac:dyDescent="0.5">
      <c r="B132" s="237">
        <v>2</v>
      </c>
      <c r="C132" s="124" t="s">
        <v>312</v>
      </c>
      <c r="D132" s="238" t="s">
        <v>15</v>
      </c>
      <c r="E132" s="238">
        <v>210</v>
      </c>
      <c r="F132" s="239">
        <v>1.5</v>
      </c>
      <c r="G132" s="203">
        <f t="shared" ref="G132" si="0">E132*F132</f>
        <v>315</v>
      </c>
    </row>
    <row r="133" spans="2:224" x14ac:dyDescent="0.5">
      <c r="B133" s="237"/>
      <c r="C133" s="123"/>
      <c r="D133" s="238"/>
      <c r="E133" s="238"/>
      <c r="F133" s="239"/>
      <c r="G133" s="203"/>
      <c r="H133" s="32"/>
      <c r="I133" s="334"/>
      <c r="J133" s="32"/>
      <c r="L133" s="165"/>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c r="GT133" s="32"/>
      <c r="GU133" s="32"/>
      <c r="GV133" s="32"/>
      <c r="GW133" s="32"/>
      <c r="GX133" s="32"/>
      <c r="GY133" s="32"/>
      <c r="GZ133" s="32"/>
      <c r="HA133" s="32"/>
      <c r="HB133" s="32"/>
      <c r="HC133" s="32"/>
      <c r="HD133" s="32"/>
      <c r="HE133" s="32"/>
      <c r="HF133" s="32"/>
      <c r="HG133" s="32"/>
      <c r="HH133" s="32"/>
      <c r="HI133" s="32"/>
      <c r="HJ133" s="32"/>
      <c r="HK133" s="32"/>
      <c r="HL133" s="32"/>
      <c r="HM133" s="32"/>
      <c r="HN133" s="32"/>
      <c r="HO133" s="32"/>
      <c r="HP133" s="32"/>
    </row>
    <row r="134" spans="2:224" ht="17.45" customHeight="1" x14ac:dyDescent="0.5">
      <c r="B134" s="237">
        <v>3</v>
      </c>
      <c r="C134" s="123" t="s">
        <v>313</v>
      </c>
      <c r="D134" s="238" t="s">
        <v>15</v>
      </c>
      <c r="E134" s="238">
        <v>9</v>
      </c>
      <c r="F134" s="239">
        <v>12.5</v>
      </c>
      <c r="G134" s="203">
        <f>+E134*F134</f>
        <v>112.5</v>
      </c>
      <c r="H134" s="32"/>
      <c r="I134" s="334"/>
      <c r="J134" s="32"/>
      <c r="L134" s="165"/>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c r="HE134" s="32"/>
      <c r="HF134" s="32"/>
      <c r="HG134" s="32"/>
      <c r="HH134" s="32"/>
      <c r="HI134" s="32"/>
      <c r="HJ134" s="32"/>
      <c r="HK134" s="32"/>
      <c r="HL134" s="32"/>
      <c r="HM134" s="32"/>
      <c r="HN134" s="32"/>
      <c r="HO134" s="32"/>
      <c r="HP134" s="32"/>
    </row>
    <row r="135" spans="2:224" x14ac:dyDescent="0.5">
      <c r="B135" s="240"/>
      <c r="C135" s="76"/>
      <c r="D135" s="241"/>
      <c r="E135" s="241"/>
      <c r="F135" s="242"/>
      <c r="G135" s="204"/>
      <c r="H135" s="32"/>
      <c r="I135" s="334"/>
      <c r="J135" s="32" t="s">
        <v>320</v>
      </c>
      <c r="L135" s="165"/>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c r="GT135" s="32"/>
      <c r="GU135" s="32"/>
      <c r="GV135" s="32"/>
      <c r="GW135" s="32"/>
      <c r="GX135" s="32"/>
      <c r="GY135" s="32"/>
      <c r="GZ135" s="32"/>
      <c r="HA135" s="32"/>
      <c r="HB135" s="32"/>
      <c r="HC135" s="32"/>
      <c r="HD135" s="32"/>
      <c r="HE135" s="32"/>
      <c r="HF135" s="32"/>
      <c r="HG135" s="32"/>
      <c r="HH135" s="32"/>
      <c r="HI135" s="32"/>
      <c r="HJ135" s="32"/>
      <c r="HK135" s="32"/>
      <c r="HL135" s="32"/>
      <c r="HM135" s="32"/>
      <c r="HN135" s="32"/>
      <c r="HO135" s="32"/>
      <c r="HP135" s="32"/>
    </row>
    <row r="136" spans="2:224" ht="17.25" x14ac:dyDescent="0.45">
      <c r="B136" s="375" t="s">
        <v>53</v>
      </c>
      <c r="C136" s="376"/>
      <c r="D136" s="376"/>
      <c r="E136" s="376"/>
      <c r="F136" s="377"/>
      <c r="G136" s="304">
        <f>SUM(G130:G135)</f>
        <v>3205.2999999999997</v>
      </c>
      <c r="H136" s="32"/>
      <c r="I136" s="335"/>
      <c r="J136" s="67">
        <v>243</v>
      </c>
      <c r="K136" s="338"/>
      <c r="L136" s="165"/>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c r="HE136" s="32"/>
      <c r="HF136" s="32"/>
      <c r="HG136" s="32"/>
      <c r="HH136" s="32"/>
      <c r="HI136" s="32"/>
      <c r="HJ136" s="32"/>
      <c r="HK136" s="32"/>
      <c r="HL136" s="32"/>
      <c r="HM136" s="32"/>
      <c r="HN136" s="32"/>
      <c r="HO136" s="32"/>
      <c r="HP136" s="32"/>
    </row>
    <row r="137" spans="2:224" ht="21.75" x14ac:dyDescent="1.05">
      <c r="B137" s="154"/>
      <c r="C137" s="159"/>
      <c r="D137" s="149"/>
      <c r="E137" s="150"/>
      <c r="F137" s="62"/>
      <c r="G137" s="205"/>
      <c r="H137" s="67"/>
      <c r="I137" s="335"/>
      <c r="J137" s="67"/>
      <c r="K137" s="338"/>
      <c r="L137" s="165"/>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c r="HE137" s="32"/>
      <c r="HF137" s="32"/>
      <c r="HG137" s="32"/>
      <c r="HH137" s="32"/>
      <c r="HI137" s="32"/>
      <c r="HJ137" s="32"/>
      <c r="HK137" s="32"/>
      <c r="HL137" s="32"/>
      <c r="HM137" s="32"/>
      <c r="HN137" s="32"/>
      <c r="HO137" s="32"/>
      <c r="HP137" s="32"/>
    </row>
    <row r="138" spans="2:224" x14ac:dyDescent="0.5">
      <c r="B138" s="349" t="s">
        <v>54</v>
      </c>
      <c r="C138" s="350"/>
      <c r="D138" s="34"/>
      <c r="E138" s="35"/>
      <c r="F138" s="80"/>
      <c r="G138" s="206"/>
      <c r="H138" s="67"/>
      <c r="I138" s="335"/>
      <c r="J138" s="67"/>
      <c r="K138" s="338"/>
      <c r="L138" s="165"/>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c r="HE138" s="32"/>
      <c r="HF138" s="32"/>
      <c r="HG138" s="32"/>
      <c r="HH138" s="32"/>
      <c r="HI138" s="32"/>
      <c r="HJ138" s="32"/>
      <c r="HK138" s="32"/>
      <c r="HL138" s="32"/>
      <c r="HM138" s="32"/>
      <c r="HN138" s="32"/>
      <c r="HO138" s="32"/>
      <c r="HP138" s="32"/>
    </row>
    <row r="139" spans="2:224" ht="17.25" x14ac:dyDescent="0.45">
      <c r="B139" s="291" t="s">
        <v>8</v>
      </c>
      <c r="C139" s="286" t="s">
        <v>240</v>
      </c>
      <c r="D139" s="287" t="s">
        <v>9</v>
      </c>
      <c r="E139" s="288" t="s">
        <v>10</v>
      </c>
      <c r="F139" s="289" t="s">
        <v>11</v>
      </c>
      <c r="G139" s="290" t="s">
        <v>12</v>
      </c>
      <c r="H139" s="32"/>
      <c r="I139" s="335"/>
      <c r="J139" s="67"/>
      <c r="K139" s="338"/>
      <c r="L139" s="337"/>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2"/>
      <c r="GZ139" s="32"/>
      <c r="HA139" s="32"/>
      <c r="HB139" s="32"/>
      <c r="HC139" s="32"/>
      <c r="HD139" s="32"/>
      <c r="HE139" s="32"/>
      <c r="HF139" s="32"/>
      <c r="HG139" s="32"/>
      <c r="HH139" s="32"/>
      <c r="HI139" s="32"/>
      <c r="HJ139" s="32"/>
      <c r="HK139" s="32"/>
      <c r="HL139" s="32"/>
      <c r="HM139" s="32"/>
      <c r="HN139" s="32"/>
      <c r="HO139" s="32"/>
      <c r="HP139" s="32"/>
    </row>
    <row r="140" spans="2:224" ht="17.25" x14ac:dyDescent="0.45">
      <c r="B140" s="146"/>
      <c r="C140" s="37"/>
      <c r="D140" s="38"/>
      <c r="E140" s="39"/>
      <c r="F140" s="40"/>
      <c r="G140" s="193"/>
      <c r="H140" s="32"/>
      <c r="I140" s="335">
        <v>152</v>
      </c>
      <c r="J140" s="67">
        <v>64</v>
      </c>
      <c r="K140" s="338">
        <f>J140/J136</f>
        <v>0.26337448559670784</v>
      </c>
      <c r="L140" s="337"/>
      <c r="M140" s="33"/>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c r="HE140" s="32"/>
      <c r="HF140" s="32"/>
      <c r="HG140" s="32"/>
      <c r="HH140" s="32"/>
      <c r="HI140" s="32"/>
      <c r="HJ140" s="32"/>
      <c r="HK140" s="32"/>
      <c r="HL140" s="32"/>
      <c r="HM140" s="32"/>
      <c r="HN140" s="32"/>
      <c r="HO140" s="32"/>
      <c r="HP140" s="32"/>
    </row>
    <row r="141" spans="2:224" x14ac:dyDescent="0.5">
      <c r="B141" s="226">
        <v>1</v>
      </c>
      <c r="C141" s="21" t="s">
        <v>308</v>
      </c>
      <c r="D141" s="227" t="s">
        <v>36</v>
      </c>
      <c r="E141" s="229">
        <f>'Take Off'!D4*0.082304527</f>
        <v>14.156378644</v>
      </c>
      <c r="F141" s="228">
        <v>19</v>
      </c>
      <c r="G141" s="190">
        <f>E141*F141</f>
        <v>268.97119423599997</v>
      </c>
      <c r="H141" s="32"/>
      <c r="I141" s="335">
        <v>114</v>
      </c>
      <c r="J141" s="67">
        <v>254</v>
      </c>
      <c r="K141" s="338">
        <f>J141/J136</f>
        <v>1.0452674897119341</v>
      </c>
      <c r="L141" s="337"/>
      <c r="M141" s="33"/>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row>
    <row r="142" spans="2:224" x14ac:dyDescent="0.5">
      <c r="B142" s="226"/>
      <c r="C142" s="21"/>
      <c r="D142" s="227"/>
      <c r="E142" s="227"/>
      <c r="F142" s="228"/>
      <c r="G142" s="190"/>
      <c r="H142" s="32"/>
      <c r="I142" s="335">
        <v>228</v>
      </c>
      <c r="J142" s="67">
        <v>20</v>
      </c>
      <c r="K142" s="338">
        <f>J142/J136</f>
        <v>8.2304526748971193E-2</v>
      </c>
      <c r="L142" s="337"/>
      <c r="M142" s="33"/>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c r="GT142" s="32"/>
      <c r="GU142" s="32"/>
      <c r="GV142" s="32"/>
      <c r="GW142" s="32"/>
      <c r="GX142" s="32"/>
      <c r="GY142" s="32"/>
      <c r="GZ142" s="32"/>
      <c r="HA142" s="32"/>
      <c r="HB142" s="32"/>
      <c r="HC142" s="32"/>
      <c r="HD142" s="32"/>
      <c r="HE142" s="32"/>
      <c r="HF142" s="32"/>
      <c r="HG142" s="32"/>
      <c r="HH142" s="32"/>
      <c r="HI142" s="32"/>
      <c r="HJ142" s="32"/>
      <c r="HK142" s="32"/>
      <c r="HL142" s="32"/>
      <c r="HM142" s="32"/>
      <c r="HN142" s="32"/>
      <c r="HO142" s="32"/>
      <c r="HP142" s="32"/>
    </row>
    <row r="143" spans="2:224" x14ac:dyDescent="0.5">
      <c r="B143" s="226">
        <f>B141+1</f>
        <v>2</v>
      </c>
      <c r="C143" s="21" t="s">
        <v>307</v>
      </c>
      <c r="D143" s="227" t="s">
        <v>36</v>
      </c>
      <c r="E143" s="229">
        <f>'Take Off'!D4*1.111111111</f>
        <v>191.11111109200002</v>
      </c>
      <c r="F143" s="228">
        <v>6</v>
      </c>
      <c r="G143" s="190">
        <f t="shared" ref="G143" si="1">E143*F143</f>
        <v>1146.6666665520002</v>
      </c>
      <c r="H143" s="32"/>
      <c r="I143" s="335">
        <v>36</v>
      </c>
      <c r="J143" s="67">
        <v>270</v>
      </c>
      <c r="K143" s="338">
        <f>J143/J136</f>
        <v>1.1111111111111112</v>
      </c>
      <c r="L143" s="165"/>
      <c r="M143" s="33"/>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c r="GT143" s="32"/>
      <c r="GU143" s="32"/>
      <c r="GV143" s="32"/>
      <c r="GW143" s="32"/>
      <c r="GX143" s="32"/>
      <c r="GY143" s="32"/>
      <c r="GZ143" s="32"/>
      <c r="HA143" s="32"/>
      <c r="HB143" s="32"/>
      <c r="HC143" s="32"/>
      <c r="HD143" s="32"/>
      <c r="HE143" s="32"/>
      <c r="HF143" s="32"/>
      <c r="HG143" s="32"/>
      <c r="HH143" s="32"/>
      <c r="HI143" s="32"/>
      <c r="HJ143" s="32"/>
      <c r="HK143" s="32"/>
      <c r="HL143" s="32"/>
      <c r="HM143" s="32"/>
      <c r="HN143" s="32"/>
      <c r="HO143" s="32"/>
      <c r="HP143" s="32"/>
    </row>
    <row r="144" spans="2:224" x14ac:dyDescent="0.5">
      <c r="B144" s="226"/>
      <c r="C144" s="21"/>
      <c r="D144" s="227"/>
      <c r="E144" s="227"/>
      <c r="F144" s="228"/>
      <c r="G144" s="190"/>
      <c r="H144" s="32"/>
      <c r="I144" s="334"/>
      <c r="J144" s="32"/>
      <c r="L144" s="165"/>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c r="GT144" s="32"/>
      <c r="GU144" s="32"/>
      <c r="GV144" s="32"/>
      <c r="GW144" s="32"/>
      <c r="GX144" s="32"/>
      <c r="GY144" s="32"/>
      <c r="GZ144" s="32"/>
      <c r="HA144" s="32"/>
      <c r="HB144" s="32"/>
      <c r="HC144" s="32"/>
      <c r="HD144" s="32"/>
      <c r="HE144" s="32"/>
      <c r="HF144" s="32"/>
      <c r="HG144" s="32"/>
      <c r="HH144" s="32"/>
      <c r="HI144" s="32"/>
      <c r="HJ144" s="32"/>
      <c r="HK144" s="32"/>
      <c r="HL144" s="32"/>
      <c r="HM144" s="32"/>
      <c r="HN144" s="32"/>
      <c r="HO144" s="32"/>
      <c r="HP144" s="32"/>
    </row>
    <row r="145" spans="2:224" x14ac:dyDescent="0.5">
      <c r="B145" s="226">
        <f t="shared" ref="B145:B173" si="2">B143+1</f>
        <v>3</v>
      </c>
      <c r="C145" s="21" t="s">
        <v>211</v>
      </c>
      <c r="D145" s="227" t="s">
        <v>36</v>
      </c>
      <c r="E145" s="229">
        <f>'Take Off'!D4*0.263374486</f>
        <v>45.300411592000003</v>
      </c>
      <c r="F145" s="243">
        <v>14</v>
      </c>
      <c r="G145" s="207">
        <f>F145*E145</f>
        <v>634.20576228800007</v>
      </c>
      <c r="H145" s="32"/>
      <c r="I145" s="334"/>
      <c r="J145" s="32"/>
      <c r="L145" s="165"/>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c r="GT145" s="32"/>
      <c r="GU145" s="32"/>
      <c r="GV145" s="32"/>
      <c r="GW145" s="32"/>
      <c r="GX145" s="32"/>
      <c r="GY145" s="32"/>
      <c r="GZ145" s="32"/>
      <c r="HA145" s="32"/>
      <c r="HB145" s="32"/>
      <c r="HC145" s="32"/>
      <c r="HD145" s="32"/>
      <c r="HE145" s="32"/>
      <c r="HF145" s="32"/>
      <c r="HG145" s="32"/>
      <c r="HH145" s="32"/>
      <c r="HI145" s="32"/>
      <c r="HJ145" s="32"/>
      <c r="HK145" s="32"/>
      <c r="HL145" s="32"/>
      <c r="HM145" s="32"/>
      <c r="HN145" s="32"/>
      <c r="HO145" s="32"/>
      <c r="HP145" s="32"/>
    </row>
    <row r="146" spans="2:224" x14ac:dyDescent="0.5">
      <c r="B146" s="226"/>
      <c r="C146" s="21"/>
      <c r="D146" s="227"/>
      <c r="E146" s="227"/>
      <c r="F146" s="243"/>
      <c r="G146" s="207"/>
      <c r="H146" s="32"/>
      <c r="I146" s="334"/>
      <c r="J146" s="32"/>
      <c r="L146" s="165"/>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c r="HE146" s="32"/>
      <c r="HF146" s="32"/>
      <c r="HG146" s="32"/>
      <c r="HH146" s="32"/>
      <c r="HI146" s="32"/>
      <c r="HJ146" s="32"/>
      <c r="HK146" s="32"/>
      <c r="HL146" s="32"/>
      <c r="HM146" s="32"/>
      <c r="HN146" s="32"/>
      <c r="HO146" s="32"/>
      <c r="HP146" s="32"/>
    </row>
    <row r="147" spans="2:224" x14ac:dyDescent="0.5">
      <c r="B147" s="226">
        <f t="shared" si="2"/>
        <v>4</v>
      </c>
      <c r="C147" s="21" t="s">
        <v>212</v>
      </c>
      <c r="D147" s="227" t="s">
        <v>36</v>
      </c>
      <c r="E147" s="229">
        <f>'Take Off'!D4*1.04526749</f>
        <v>179.78600828</v>
      </c>
      <c r="F147" s="243">
        <v>12</v>
      </c>
      <c r="G147" s="207">
        <f>F147*E147</f>
        <v>2157.4320993599999</v>
      </c>
      <c r="H147" s="32"/>
      <c r="I147" s="334"/>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c r="HE147" s="32"/>
      <c r="HF147" s="32"/>
      <c r="HG147" s="32"/>
      <c r="HH147" s="32"/>
      <c r="HI147" s="32"/>
      <c r="HJ147" s="32"/>
      <c r="HK147" s="32"/>
      <c r="HL147" s="32"/>
      <c r="HM147" s="32"/>
      <c r="HN147" s="32"/>
      <c r="HO147" s="32"/>
      <c r="HP147" s="32"/>
    </row>
    <row r="148" spans="2:224" x14ac:dyDescent="0.5">
      <c r="B148" s="226"/>
      <c r="C148" s="21"/>
      <c r="D148" s="227"/>
      <c r="E148" s="227"/>
      <c r="F148" s="243"/>
      <c r="G148" s="207"/>
      <c r="H148" s="32"/>
      <c r="I148" s="334"/>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c r="HE148" s="32"/>
      <c r="HF148" s="32"/>
      <c r="HG148" s="32"/>
      <c r="HH148" s="32"/>
      <c r="HI148" s="32"/>
      <c r="HJ148" s="32"/>
      <c r="HK148" s="32"/>
      <c r="HL148" s="32"/>
      <c r="HM148" s="32"/>
      <c r="HN148" s="32"/>
      <c r="HO148" s="32"/>
      <c r="HP148" s="32"/>
    </row>
    <row r="149" spans="2:224" x14ac:dyDescent="0.5">
      <c r="B149" s="226">
        <v>5</v>
      </c>
      <c r="C149" s="21" t="s">
        <v>213</v>
      </c>
      <c r="D149" s="227" t="s">
        <v>15</v>
      </c>
      <c r="E149" s="229">
        <f>'Take Off'!A4/3</f>
        <v>23.8</v>
      </c>
      <c r="F149" s="243">
        <v>16.5</v>
      </c>
      <c r="G149" s="207">
        <f>F149*E149</f>
        <v>392.7</v>
      </c>
      <c r="H149" s="32"/>
      <c r="I149" s="334"/>
      <c r="J149" s="32"/>
      <c r="L149" s="165"/>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c r="HE149" s="32"/>
      <c r="HF149" s="32"/>
      <c r="HG149" s="32"/>
      <c r="HH149" s="32"/>
      <c r="HI149" s="32"/>
      <c r="HJ149" s="32"/>
      <c r="HK149" s="32"/>
      <c r="HL149" s="32"/>
      <c r="HM149" s="32"/>
      <c r="HN149" s="32"/>
      <c r="HO149" s="32"/>
      <c r="HP149" s="32"/>
    </row>
    <row r="150" spans="2:224" x14ac:dyDescent="0.5">
      <c r="B150" s="226"/>
      <c r="C150" s="21"/>
      <c r="D150" s="227"/>
      <c r="E150" s="229" t="s">
        <v>5</v>
      </c>
      <c r="F150" s="243"/>
      <c r="G150" s="207"/>
      <c r="H150" s="32"/>
      <c r="I150" s="334"/>
      <c r="J150" s="32"/>
      <c r="L150" s="165"/>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c r="GT150" s="32"/>
      <c r="GU150" s="32"/>
      <c r="GV150" s="32"/>
      <c r="GW150" s="32"/>
      <c r="GX150" s="32"/>
      <c r="GY150" s="32"/>
      <c r="GZ150" s="32"/>
      <c r="HA150" s="32"/>
      <c r="HB150" s="32"/>
      <c r="HC150" s="32"/>
      <c r="HD150" s="32"/>
      <c r="HE150" s="32"/>
      <c r="HF150" s="32"/>
      <c r="HG150" s="32"/>
      <c r="HH150" s="32"/>
      <c r="HI150" s="32"/>
      <c r="HJ150" s="32"/>
      <c r="HK150" s="32"/>
      <c r="HL150" s="32"/>
      <c r="HM150" s="32"/>
      <c r="HN150" s="32"/>
      <c r="HO150" s="32"/>
      <c r="HP150" s="32"/>
    </row>
    <row r="151" spans="2:224" x14ac:dyDescent="0.5">
      <c r="B151" s="226">
        <f t="shared" si="2"/>
        <v>6</v>
      </c>
      <c r="C151" s="21" t="s">
        <v>310</v>
      </c>
      <c r="D151" s="227" t="s">
        <v>15</v>
      </c>
      <c r="E151" s="229">
        <v>5</v>
      </c>
      <c r="F151" s="243">
        <v>2</v>
      </c>
      <c r="G151" s="207">
        <f>F151*E151</f>
        <v>10</v>
      </c>
      <c r="H151" s="32"/>
      <c r="I151" s="334"/>
      <c r="J151" s="32"/>
      <c r="L151" s="165"/>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c r="HE151" s="32"/>
      <c r="HF151" s="32"/>
      <c r="HG151" s="32"/>
      <c r="HH151" s="32"/>
      <c r="HI151" s="32"/>
      <c r="HJ151" s="32"/>
      <c r="HK151" s="32"/>
      <c r="HL151" s="32"/>
      <c r="HM151" s="32"/>
      <c r="HN151" s="32"/>
      <c r="HO151" s="32"/>
      <c r="HP151" s="32"/>
    </row>
    <row r="152" spans="2:224" x14ac:dyDescent="0.5">
      <c r="B152" s="226"/>
      <c r="C152" s="21"/>
      <c r="D152" s="227"/>
      <c r="E152" s="229"/>
      <c r="F152" s="243"/>
      <c r="G152" s="207"/>
      <c r="H152" s="32"/>
      <c r="I152" s="334"/>
      <c r="J152" s="32"/>
      <c r="L152" s="165"/>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c r="HE152" s="32"/>
      <c r="HF152" s="32"/>
      <c r="HG152" s="32"/>
      <c r="HH152" s="32"/>
      <c r="HI152" s="32"/>
      <c r="HJ152" s="32"/>
      <c r="HK152" s="32"/>
      <c r="HL152" s="32"/>
      <c r="HM152" s="32"/>
      <c r="HN152" s="32"/>
      <c r="HO152" s="32"/>
      <c r="HP152" s="32"/>
    </row>
    <row r="153" spans="2:224" x14ac:dyDescent="0.5">
      <c r="B153" s="226">
        <f t="shared" si="2"/>
        <v>7</v>
      </c>
      <c r="C153" s="21" t="s">
        <v>309</v>
      </c>
      <c r="D153" s="227" t="s">
        <v>15</v>
      </c>
      <c r="E153" s="229">
        <v>18</v>
      </c>
      <c r="F153" s="243">
        <v>15</v>
      </c>
      <c r="G153" s="207">
        <f>F153*E153</f>
        <v>270</v>
      </c>
      <c r="H153" s="32"/>
      <c r="I153" s="334"/>
      <c r="J153" s="32"/>
      <c r="L153" s="165"/>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c r="HE153" s="32"/>
      <c r="HF153" s="32"/>
      <c r="HG153" s="32"/>
      <c r="HH153" s="32"/>
      <c r="HI153" s="32"/>
      <c r="HJ153" s="32"/>
      <c r="HK153" s="32"/>
      <c r="HL153" s="32"/>
      <c r="HM153" s="32"/>
      <c r="HN153" s="32"/>
      <c r="HO153" s="32"/>
      <c r="HP153" s="32"/>
    </row>
    <row r="154" spans="2:224" x14ac:dyDescent="0.5">
      <c r="B154" s="226"/>
      <c r="C154" s="21"/>
      <c r="D154" s="227"/>
      <c r="E154" s="229"/>
      <c r="F154" s="243"/>
      <c r="G154" s="207"/>
      <c r="H154" s="32"/>
      <c r="I154" s="334"/>
      <c r="J154" s="32"/>
      <c r="L154" s="165"/>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row>
    <row r="155" spans="2:224" x14ac:dyDescent="0.5">
      <c r="B155" s="226">
        <f t="shared" si="2"/>
        <v>8</v>
      </c>
      <c r="C155" s="21" t="s">
        <v>214</v>
      </c>
      <c r="D155" s="227" t="s">
        <v>15</v>
      </c>
      <c r="E155" s="227">
        <v>600</v>
      </c>
      <c r="F155" s="243">
        <v>0.2</v>
      </c>
      <c r="G155" s="207">
        <f>F155*E155</f>
        <v>120</v>
      </c>
      <c r="H155" s="32"/>
      <c r="I155" s="334"/>
      <c r="J155" s="32"/>
      <c r="L155" s="165"/>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c r="HE155" s="32"/>
      <c r="HF155" s="32"/>
      <c r="HG155" s="32"/>
      <c r="HH155" s="32"/>
      <c r="HI155" s="32"/>
      <c r="HJ155" s="32"/>
      <c r="HK155" s="32"/>
      <c r="HL155" s="32"/>
      <c r="HM155" s="32"/>
      <c r="HN155" s="32"/>
      <c r="HO155" s="32"/>
      <c r="HP155" s="32"/>
    </row>
    <row r="156" spans="2:224" x14ac:dyDescent="0.5">
      <c r="B156" s="226"/>
      <c r="C156" s="21"/>
      <c r="D156" s="227"/>
      <c r="E156" s="227"/>
      <c r="F156" s="243"/>
      <c r="G156" s="207"/>
      <c r="H156" s="32"/>
      <c r="I156" s="334"/>
      <c r="J156" s="32"/>
      <c r="L156" s="165"/>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c r="HE156" s="32"/>
      <c r="HF156" s="32"/>
      <c r="HG156" s="32"/>
      <c r="HH156" s="32"/>
      <c r="HI156" s="32"/>
      <c r="HJ156" s="32"/>
      <c r="HK156" s="32"/>
      <c r="HL156" s="32"/>
      <c r="HM156" s="32"/>
      <c r="HN156" s="32"/>
      <c r="HO156" s="32"/>
      <c r="HP156" s="32"/>
    </row>
    <row r="157" spans="2:224" x14ac:dyDescent="0.5">
      <c r="B157" s="226">
        <f t="shared" si="2"/>
        <v>9</v>
      </c>
      <c r="C157" s="21" t="s">
        <v>297</v>
      </c>
      <c r="D157" s="227" t="s">
        <v>15</v>
      </c>
      <c r="E157" s="227">
        <v>20</v>
      </c>
      <c r="F157" s="243">
        <v>1</v>
      </c>
      <c r="G157" s="207">
        <f t="shared" ref="G157" si="3">F157*E157</f>
        <v>20</v>
      </c>
      <c r="H157" s="32"/>
      <c r="I157" s="334"/>
      <c r="J157" s="32"/>
      <c r="L157" s="165"/>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row>
    <row r="158" spans="2:224" x14ac:dyDescent="0.5">
      <c r="B158" s="226"/>
      <c r="C158" s="21"/>
      <c r="D158" s="227"/>
      <c r="E158" s="227"/>
      <c r="F158" s="243"/>
      <c r="G158" s="207"/>
      <c r="H158" s="32"/>
      <c r="I158" s="334"/>
      <c r="J158" s="32"/>
      <c r="L158" s="165"/>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c r="GT158" s="32"/>
      <c r="GU158" s="32"/>
      <c r="GV158" s="32"/>
      <c r="GW158" s="32"/>
      <c r="GX158" s="32"/>
      <c r="GY158" s="32"/>
      <c r="GZ158" s="32"/>
      <c r="HA158" s="32"/>
      <c r="HB158" s="32"/>
      <c r="HC158" s="32"/>
      <c r="HD158" s="32"/>
      <c r="HE158" s="32"/>
      <c r="HF158" s="32"/>
      <c r="HG158" s="32"/>
      <c r="HH158" s="32"/>
      <c r="HI158" s="32"/>
      <c r="HJ158" s="32"/>
      <c r="HK158" s="32"/>
      <c r="HL158" s="32"/>
      <c r="HM158" s="32"/>
      <c r="HN158" s="32"/>
      <c r="HO158" s="32"/>
      <c r="HP158" s="32"/>
    </row>
    <row r="159" spans="2:224" x14ac:dyDescent="0.5">
      <c r="B159" s="226">
        <f t="shared" si="2"/>
        <v>10</v>
      </c>
      <c r="C159" s="21" t="s">
        <v>215</v>
      </c>
      <c r="D159" s="227" t="s">
        <v>15</v>
      </c>
      <c r="E159" s="227">
        <v>50</v>
      </c>
      <c r="F159" s="243">
        <v>1</v>
      </c>
      <c r="G159" s="207">
        <f>F159*E159</f>
        <v>50</v>
      </c>
      <c r="H159" s="32"/>
      <c r="I159" s="334"/>
      <c r="J159" s="32"/>
      <c r="L159" s="165"/>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c r="GT159" s="32"/>
      <c r="GU159" s="32"/>
      <c r="GV159" s="32"/>
      <c r="GW159" s="32"/>
      <c r="GX159" s="32"/>
      <c r="GY159" s="32"/>
      <c r="GZ159" s="32"/>
      <c r="HA159" s="32"/>
      <c r="HB159" s="32"/>
      <c r="HC159" s="32"/>
      <c r="HD159" s="32"/>
      <c r="HE159" s="32"/>
      <c r="HF159" s="32"/>
      <c r="HG159" s="32"/>
      <c r="HH159" s="32"/>
      <c r="HI159" s="32"/>
      <c r="HJ159" s="32"/>
      <c r="HK159" s="32"/>
      <c r="HL159" s="32"/>
      <c r="HM159" s="32"/>
      <c r="HN159" s="32"/>
      <c r="HO159" s="32"/>
      <c r="HP159" s="32"/>
    </row>
    <row r="160" spans="2:224" x14ac:dyDescent="0.5">
      <c r="B160" s="226"/>
      <c r="C160" s="21"/>
      <c r="D160" s="227"/>
      <c r="E160" s="227"/>
      <c r="F160" s="243"/>
      <c r="G160" s="207"/>
      <c r="H160" s="32"/>
      <c r="I160" s="334"/>
      <c r="J160" s="32"/>
      <c r="L160" s="165"/>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c r="GT160" s="32"/>
      <c r="GU160" s="32"/>
      <c r="GV160" s="32"/>
      <c r="GW160" s="32"/>
      <c r="GX160" s="32"/>
      <c r="GY160" s="32"/>
      <c r="GZ160" s="32"/>
      <c r="HA160" s="32"/>
      <c r="HB160" s="32"/>
      <c r="HC160" s="32"/>
      <c r="HD160" s="32"/>
      <c r="HE160" s="32"/>
      <c r="HF160" s="32"/>
      <c r="HG160" s="32"/>
      <c r="HH160" s="32"/>
      <c r="HI160" s="32"/>
      <c r="HJ160" s="32"/>
      <c r="HK160" s="32"/>
      <c r="HL160" s="32"/>
      <c r="HM160" s="32"/>
      <c r="HN160" s="32"/>
      <c r="HO160" s="32"/>
      <c r="HP160" s="32"/>
    </row>
    <row r="161" spans="2:224" x14ac:dyDescent="0.5">
      <c r="B161" s="226">
        <f t="shared" si="2"/>
        <v>11</v>
      </c>
      <c r="C161" s="21" t="s">
        <v>216</v>
      </c>
      <c r="D161" s="227" t="s">
        <v>67</v>
      </c>
      <c r="E161" s="227">
        <v>3</v>
      </c>
      <c r="F161" s="243">
        <v>15</v>
      </c>
      <c r="G161" s="207">
        <f>F161*E161</f>
        <v>45</v>
      </c>
      <c r="H161" s="32"/>
      <c r="I161" s="334"/>
      <c r="J161" s="32"/>
      <c r="L161" s="165"/>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c r="GT161" s="32"/>
      <c r="GU161" s="32"/>
      <c r="GV161" s="32"/>
      <c r="GW161" s="32"/>
      <c r="GX161" s="32"/>
      <c r="GY161" s="32"/>
      <c r="GZ161" s="32"/>
      <c r="HA161" s="32"/>
      <c r="HB161" s="32"/>
      <c r="HC161" s="32"/>
      <c r="HD161" s="32"/>
      <c r="HE161" s="32"/>
      <c r="HF161" s="32"/>
      <c r="HG161" s="32"/>
      <c r="HH161" s="32"/>
      <c r="HI161" s="32"/>
      <c r="HJ161" s="32"/>
      <c r="HK161" s="32"/>
      <c r="HL161" s="32"/>
      <c r="HM161" s="32"/>
      <c r="HN161" s="32"/>
      <c r="HO161" s="32"/>
      <c r="HP161" s="32"/>
    </row>
    <row r="162" spans="2:224" x14ac:dyDescent="0.5">
      <c r="B162" s="226"/>
      <c r="C162" s="21"/>
      <c r="D162" s="227"/>
      <c r="E162" s="227"/>
      <c r="F162" s="243"/>
      <c r="G162" s="207"/>
      <c r="H162" s="32"/>
      <c r="I162" s="334"/>
      <c r="J162" s="32"/>
      <c r="L162" s="165"/>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c r="GT162" s="32"/>
      <c r="GU162" s="32"/>
      <c r="GV162" s="32"/>
      <c r="GW162" s="32"/>
      <c r="GX162" s="32"/>
      <c r="GY162" s="32"/>
      <c r="GZ162" s="32"/>
      <c r="HA162" s="32"/>
      <c r="HB162" s="32"/>
      <c r="HC162" s="32"/>
      <c r="HD162" s="32"/>
      <c r="HE162" s="32"/>
      <c r="HF162" s="32"/>
      <c r="HG162" s="32"/>
      <c r="HH162" s="32"/>
      <c r="HI162" s="32"/>
      <c r="HJ162" s="32"/>
      <c r="HK162" s="32"/>
      <c r="HL162" s="32"/>
      <c r="HM162" s="32"/>
      <c r="HN162" s="32"/>
      <c r="HO162" s="32"/>
      <c r="HP162" s="32"/>
    </row>
    <row r="163" spans="2:224" x14ac:dyDescent="0.5">
      <c r="B163" s="226">
        <f t="shared" si="2"/>
        <v>12</v>
      </c>
      <c r="C163" s="21" t="s">
        <v>217</v>
      </c>
      <c r="D163" s="227" t="s">
        <v>39</v>
      </c>
      <c r="E163" s="227">
        <v>10</v>
      </c>
      <c r="F163" s="243">
        <v>2.5</v>
      </c>
      <c r="G163" s="207">
        <f>F163*E163</f>
        <v>25</v>
      </c>
      <c r="H163" s="32"/>
      <c r="I163" s="334"/>
      <c r="J163" s="32"/>
      <c r="L163" s="165"/>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c r="GT163" s="32"/>
      <c r="GU163" s="32"/>
      <c r="GV163" s="32"/>
      <c r="GW163" s="32"/>
      <c r="GX163" s="32"/>
      <c r="GY163" s="32"/>
      <c r="GZ163" s="32"/>
      <c r="HA163" s="32"/>
      <c r="HB163" s="32"/>
      <c r="HC163" s="32"/>
      <c r="HD163" s="32"/>
      <c r="HE163" s="32"/>
      <c r="HF163" s="32"/>
      <c r="HG163" s="32"/>
      <c r="HH163" s="32"/>
      <c r="HI163" s="32"/>
      <c r="HJ163" s="32"/>
      <c r="HK163" s="32"/>
      <c r="HL163" s="32"/>
      <c r="HM163" s="32"/>
      <c r="HN163" s="32"/>
      <c r="HO163" s="32"/>
      <c r="HP163" s="32"/>
    </row>
    <row r="164" spans="2:224" x14ac:dyDescent="0.5">
      <c r="B164" s="226"/>
      <c r="C164" s="21"/>
      <c r="D164" s="227"/>
      <c r="E164" s="227"/>
      <c r="F164" s="243"/>
      <c r="G164" s="207"/>
      <c r="H164" s="32"/>
      <c r="I164" s="334"/>
      <c r="J164" s="32"/>
      <c r="L164" s="165"/>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c r="GT164" s="32"/>
      <c r="GU164" s="32"/>
      <c r="GV164" s="32"/>
      <c r="GW164" s="32"/>
      <c r="GX164" s="32"/>
      <c r="GY164" s="32"/>
      <c r="GZ164" s="32"/>
      <c r="HA164" s="32"/>
      <c r="HB164" s="32"/>
      <c r="HC164" s="32"/>
      <c r="HD164" s="32"/>
      <c r="HE164" s="32"/>
      <c r="HF164" s="32"/>
      <c r="HG164" s="32"/>
      <c r="HH164" s="32"/>
      <c r="HI164" s="32"/>
      <c r="HJ164" s="32"/>
      <c r="HK164" s="32"/>
      <c r="HL164" s="32"/>
      <c r="HM164" s="32"/>
      <c r="HN164" s="32"/>
      <c r="HO164" s="32"/>
      <c r="HP164" s="32"/>
    </row>
    <row r="165" spans="2:224" x14ac:dyDescent="0.5">
      <c r="B165" s="226">
        <f t="shared" si="2"/>
        <v>13</v>
      </c>
      <c r="C165" s="21" t="s">
        <v>218</v>
      </c>
      <c r="D165" s="227" t="s">
        <v>39</v>
      </c>
      <c r="E165" s="227">
        <v>5</v>
      </c>
      <c r="F165" s="243">
        <v>2.5</v>
      </c>
      <c r="G165" s="207">
        <f>F165*E165</f>
        <v>12.5</v>
      </c>
      <c r="H165" s="32"/>
      <c r="I165" s="334"/>
      <c r="J165" s="32"/>
      <c r="L165" s="165"/>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c r="GT165" s="32"/>
      <c r="GU165" s="32"/>
      <c r="GV165" s="32"/>
      <c r="GW165" s="32"/>
      <c r="GX165" s="32"/>
      <c r="GY165" s="32"/>
      <c r="GZ165" s="32"/>
      <c r="HA165" s="32"/>
      <c r="HB165" s="32"/>
      <c r="HC165" s="32"/>
      <c r="HD165" s="32"/>
      <c r="HE165" s="32"/>
      <c r="HF165" s="32"/>
      <c r="HG165" s="32"/>
      <c r="HH165" s="32"/>
      <c r="HI165" s="32"/>
      <c r="HJ165" s="32"/>
      <c r="HK165" s="32"/>
      <c r="HL165" s="32"/>
      <c r="HM165" s="32"/>
      <c r="HN165" s="32"/>
      <c r="HO165" s="32"/>
      <c r="HP165" s="32"/>
    </row>
    <row r="166" spans="2:224" x14ac:dyDescent="0.5">
      <c r="B166" s="226"/>
      <c r="C166" s="21"/>
      <c r="D166" s="227"/>
      <c r="E166" s="227"/>
      <c r="F166" s="243"/>
      <c r="G166" s="207"/>
      <c r="H166" s="32"/>
      <c r="I166" s="334"/>
      <c r="J166" s="32"/>
      <c r="L166" s="165"/>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c r="HE166" s="32"/>
      <c r="HF166" s="32"/>
      <c r="HG166" s="32"/>
      <c r="HH166" s="32"/>
      <c r="HI166" s="32"/>
      <c r="HJ166" s="32"/>
      <c r="HK166" s="32"/>
      <c r="HL166" s="32"/>
      <c r="HM166" s="32"/>
      <c r="HN166" s="32"/>
      <c r="HO166" s="32"/>
      <c r="HP166" s="32"/>
    </row>
    <row r="167" spans="2:224" x14ac:dyDescent="0.5">
      <c r="B167" s="226">
        <f t="shared" si="2"/>
        <v>14</v>
      </c>
      <c r="C167" s="21" t="s">
        <v>219</v>
      </c>
      <c r="D167" s="227" t="s">
        <v>39</v>
      </c>
      <c r="E167" s="227">
        <v>40</v>
      </c>
      <c r="F167" s="243">
        <v>2.5</v>
      </c>
      <c r="G167" s="207">
        <f>F167*E167</f>
        <v>100</v>
      </c>
      <c r="H167" s="32"/>
      <c r="I167" s="334"/>
      <c r="J167" s="32"/>
      <c r="L167" s="165"/>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c r="HE167" s="32"/>
      <c r="HF167" s="32"/>
      <c r="HG167" s="32"/>
      <c r="HH167" s="32"/>
      <c r="HI167" s="32"/>
      <c r="HJ167" s="32"/>
      <c r="HK167" s="32"/>
      <c r="HL167" s="32"/>
      <c r="HM167" s="32"/>
      <c r="HN167" s="32"/>
      <c r="HO167" s="32"/>
      <c r="HP167" s="32"/>
    </row>
    <row r="168" spans="2:224" x14ac:dyDescent="0.5">
      <c r="B168" s="226"/>
      <c r="C168" s="21"/>
      <c r="D168" s="227"/>
      <c r="E168" s="227"/>
      <c r="F168" s="243"/>
      <c r="G168" s="207"/>
      <c r="H168" s="32"/>
      <c r="I168" s="334"/>
      <c r="J168" s="32"/>
      <c r="L168" s="165"/>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32"/>
      <c r="FT168" s="32"/>
      <c r="FU168" s="32"/>
      <c r="FV168" s="32"/>
      <c r="FW168" s="32"/>
      <c r="FX168" s="32"/>
      <c r="FY168" s="32"/>
      <c r="FZ168" s="32"/>
      <c r="GA168" s="32"/>
      <c r="GB168" s="32"/>
      <c r="GC168" s="32"/>
      <c r="GD168" s="32"/>
      <c r="GE168" s="32"/>
      <c r="GF168" s="32"/>
      <c r="GG168" s="32"/>
      <c r="GH168" s="32"/>
      <c r="GI168" s="32"/>
      <c r="GJ168" s="32"/>
      <c r="GK168" s="32"/>
      <c r="GL168" s="32"/>
      <c r="GM168" s="32"/>
      <c r="GN168" s="32"/>
      <c r="GO168" s="32"/>
      <c r="GP168" s="32"/>
      <c r="GQ168" s="32"/>
      <c r="GR168" s="32"/>
      <c r="GS168" s="32"/>
      <c r="GT168" s="32"/>
      <c r="GU168" s="32"/>
      <c r="GV168" s="32"/>
      <c r="GW168" s="32"/>
      <c r="GX168" s="32"/>
      <c r="GY168" s="32"/>
      <c r="GZ168" s="32"/>
      <c r="HA168" s="32"/>
      <c r="HB168" s="32"/>
      <c r="HC168" s="32"/>
      <c r="HD168" s="32"/>
      <c r="HE168" s="32"/>
      <c r="HF168" s="32"/>
      <c r="HG168" s="32"/>
      <c r="HH168" s="32"/>
      <c r="HI168" s="32"/>
      <c r="HJ168" s="32"/>
      <c r="HK168" s="32"/>
      <c r="HL168" s="32"/>
      <c r="HM168" s="32"/>
      <c r="HN168" s="32"/>
      <c r="HO168" s="32"/>
      <c r="HP168" s="32"/>
    </row>
    <row r="169" spans="2:224" x14ac:dyDescent="0.5">
      <c r="B169" s="226">
        <f t="shared" si="2"/>
        <v>15</v>
      </c>
      <c r="C169" s="21" t="s">
        <v>220</v>
      </c>
      <c r="D169" s="227" t="s">
        <v>39</v>
      </c>
      <c r="E169" s="227">
        <v>18</v>
      </c>
      <c r="F169" s="243">
        <v>2.5</v>
      </c>
      <c r="G169" s="207">
        <f>F169*E169</f>
        <v>45</v>
      </c>
      <c r="H169" s="32"/>
      <c r="I169" s="334"/>
      <c r="J169" s="32"/>
      <c r="L169" s="165"/>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32"/>
      <c r="FT169" s="32"/>
      <c r="FU169" s="32"/>
      <c r="FV169" s="32"/>
      <c r="FW169" s="32"/>
      <c r="FX169" s="32"/>
      <c r="FY169" s="32"/>
      <c r="FZ169" s="32"/>
      <c r="GA169" s="32"/>
      <c r="GB169" s="32"/>
      <c r="GC169" s="32"/>
      <c r="GD169" s="32"/>
      <c r="GE169" s="32"/>
      <c r="GF169" s="32"/>
      <c r="GG169" s="32"/>
      <c r="GH169" s="32"/>
      <c r="GI169" s="32"/>
      <c r="GJ169" s="32"/>
      <c r="GK169" s="32"/>
      <c r="GL169" s="32"/>
      <c r="GM169" s="32"/>
      <c r="GN169" s="32"/>
      <c r="GO169" s="32"/>
      <c r="GP169" s="32"/>
      <c r="GQ169" s="32"/>
      <c r="GR169" s="32"/>
      <c r="GS169" s="32"/>
      <c r="GT169" s="32"/>
      <c r="GU169" s="32"/>
      <c r="GV169" s="32"/>
      <c r="GW169" s="32"/>
      <c r="GX169" s="32"/>
      <c r="GY169" s="32"/>
      <c r="GZ169" s="32"/>
      <c r="HA169" s="32"/>
      <c r="HB169" s="32"/>
      <c r="HC169" s="32"/>
      <c r="HD169" s="32"/>
      <c r="HE169" s="32"/>
      <c r="HF169" s="32"/>
      <c r="HG169" s="32"/>
      <c r="HH169" s="32"/>
      <c r="HI169" s="32"/>
      <c r="HJ169" s="32"/>
      <c r="HK169" s="32"/>
      <c r="HL169" s="32"/>
      <c r="HM169" s="32"/>
      <c r="HN169" s="32"/>
      <c r="HO169" s="32"/>
      <c r="HP169" s="32"/>
    </row>
    <row r="170" spans="2:224" x14ac:dyDescent="0.5">
      <c r="B170" s="226"/>
      <c r="C170" s="21"/>
      <c r="D170" s="227"/>
      <c r="E170" s="227"/>
      <c r="F170" s="243"/>
      <c r="G170" s="207"/>
      <c r="H170" s="32"/>
      <c r="I170" s="334"/>
      <c r="J170" s="32"/>
      <c r="L170" s="165"/>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32"/>
      <c r="FT170" s="32"/>
      <c r="FU170" s="32"/>
      <c r="FV170" s="32"/>
      <c r="FW170" s="32"/>
      <c r="FX170" s="32"/>
      <c r="FY170" s="32"/>
      <c r="FZ170" s="32"/>
      <c r="GA170" s="32"/>
      <c r="GB170" s="32"/>
      <c r="GC170" s="32"/>
      <c r="GD170" s="32"/>
      <c r="GE170" s="32"/>
      <c r="GF170" s="32"/>
      <c r="GG170" s="32"/>
      <c r="GH170" s="32"/>
      <c r="GI170" s="32"/>
      <c r="GJ170" s="32"/>
      <c r="GK170" s="32"/>
      <c r="GL170" s="32"/>
      <c r="GM170" s="32"/>
      <c r="GN170" s="32"/>
      <c r="GO170" s="32"/>
      <c r="GP170" s="32"/>
      <c r="GQ170" s="32"/>
      <c r="GR170" s="32"/>
      <c r="GS170" s="32"/>
      <c r="GT170" s="32"/>
      <c r="GU170" s="32"/>
      <c r="GV170" s="32"/>
      <c r="GW170" s="32"/>
      <c r="GX170" s="32"/>
      <c r="GY170" s="32"/>
      <c r="GZ170" s="32"/>
      <c r="HA170" s="32"/>
      <c r="HB170" s="32"/>
      <c r="HC170" s="32"/>
      <c r="HD170" s="32"/>
      <c r="HE170" s="32"/>
      <c r="HF170" s="32"/>
      <c r="HG170" s="32"/>
      <c r="HH170" s="32"/>
      <c r="HI170" s="32"/>
      <c r="HJ170" s="32"/>
      <c r="HK170" s="32"/>
      <c r="HL170" s="32"/>
      <c r="HM170" s="32"/>
      <c r="HN170" s="32"/>
      <c r="HO170" s="32"/>
      <c r="HP170" s="32"/>
    </row>
    <row r="171" spans="2:224" x14ac:dyDescent="0.5">
      <c r="B171" s="226">
        <f t="shared" si="2"/>
        <v>16</v>
      </c>
      <c r="C171" s="21" t="s">
        <v>221</v>
      </c>
      <c r="D171" s="227" t="s">
        <v>55</v>
      </c>
      <c r="E171" s="227">
        <v>10</v>
      </c>
      <c r="F171" s="243">
        <v>1.3</v>
      </c>
      <c r="G171" s="207">
        <f>F171*E171</f>
        <v>13</v>
      </c>
      <c r="H171" s="32"/>
      <c r="I171" s="334"/>
      <c r="J171" s="32"/>
      <c r="L171" s="165"/>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32"/>
      <c r="FT171" s="32"/>
      <c r="FU171" s="32"/>
      <c r="FV171" s="32"/>
      <c r="FW171" s="32"/>
      <c r="FX171" s="32"/>
      <c r="FY171" s="32"/>
      <c r="FZ171" s="32"/>
      <c r="GA171" s="32"/>
      <c r="GB171" s="32"/>
      <c r="GC171" s="32"/>
      <c r="GD171" s="32"/>
      <c r="GE171" s="32"/>
      <c r="GF171" s="32"/>
      <c r="GG171" s="32"/>
      <c r="GH171" s="32"/>
      <c r="GI171" s="32"/>
      <c r="GJ171" s="32"/>
      <c r="GK171" s="32"/>
      <c r="GL171" s="32"/>
      <c r="GM171" s="32"/>
      <c r="GN171" s="32"/>
      <c r="GO171" s="32"/>
      <c r="GP171" s="32"/>
      <c r="GQ171" s="32"/>
      <c r="GR171" s="32"/>
      <c r="GS171" s="32"/>
      <c r="GT171" s="32"/>
      <c r="GU171" s="32"/>
      <c r="GV171" s="32"/>
      <c r="GW171" s="32"/>
      <c r="GX171" s="32"/>
      <c r="GY171" s="32"/>
      <c r="GZ171" s="32"/>
      <c r="HA171" s="32"/>
      <c r="HB171" s="32"/>
      <c r="HC171" s="32"/>
      <c r="HD171" s="32"/>
      <c r="HE171" s="32"/>
      <c r="HF171" s="32"/>
      <c r="HG171" s="32"/>
      <c r="HH171" s="32"/>
      <c r="HI171" s="32"/>
      <c r="HJ171" s="32"/>
      <c r="HK171" s="32"/>
      <c r="HL171" s="32"/>
      <c r="HM171" s="32"/>
      <c r="HN171" s="32"/>
      <c r="HO171" s="32"/>
      <c r="HP171" s="32"/>
    </row>
    <row r="172" spans="2:224" x14ac:dyDescent="0.5">
      <c r="B172" s="226"/>
      <c r="C172" s="21"/>
      <c r="D172" s="227"/>
      <c r="E172" s="227"/>
      <c r="F172" s="243"/>
      <c r="G172" s="207"/>
      <c r="H172" s="32"/>
      <c r="I172" s="334"/>
      <c r="J172" s="32"/>
      <c r="L172" s="165"/>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32"/>
      <c r="FT172" s="32"/>
      <c r="FU172" s="32"/>
      <c r="FV172" s="32"/>
      <c r="FW172" s="32"/>
      <c r="FX172" s="32"/>
      <c r="FY172" s="32"/>
      <c r="FZ172" s="32"/>
      <c r="GA172" s="32"/>
      <c r="GB172" s="32"/>
      <c r="GC172" s="32"/>
      <c r="GD172" s="32"/>
      <c r="GE172" s="32"/>
      <c r="GF172" s="32"/>
      <c r="GG172" s="32"/>
      <c r="GH172" s="32"/>
      <c r="GI172" s="32"/>
      <c r="GJ172" s="32"/>
      <c r="GK172" s="32"/>
      <c r="GL172" s="32"/>
      <c r="GM172" s="32"/>
      <c r="GN172" s="32"/>
      <c r="GO172" s="32"/>
      <c r="GP172" s="32"/>
      <c r="GQ172" s="32"/>
      <c r="GR172" s="32"/>
      <c r="GS172" s="32"/>
      <c r="GT172" s="32"/>
      <c r="GU172" s="32"/>
      <c r="GV172" s="32"/>
      <c r="GW172" s="32"/>
      <c r="GX172" s="32"/>
      <c r="GY172" s="32"/>
      <c r="GZ172" s="32"/>
      <c r="HA172" s="32"/>
      <c r="HB172" s="32"/>
      <c r="HC172" s="32"/>
      <c r="HD172" s="32"/>
      <c r="HE172" s="32"/>
      <c r="HF172" s="32"/>
      <c r="HG172" s="32"/>
      <c r="HH172" s="32"/>
      <c r="HI172" s="32"/>
      <c r="HJ172" s="32"/>
      <c r="HK172" s="32"/>
      <c r="HL172" s="32"/>
      <c r="HM172" s="32"/>
      <c r="HN172" s="32"/>
      <c r="HO172" s="32"/>
      <c r="HP172" s="32"/>
    </row>
    <row r="173" spans="2:224" x14ac:dyDescent="0.5">
      <c r="B173" s="226">
        <f t="shared" si="2"/>
        <v>17</v>
      </c>
      <c r="C173" s="21" t="s">
        <v>222</v>
      </c>
      <c r="D173" s="227" t="s">
        <v>39</v>
      </c>
      <c r="E173" s="227">
        <v>5</v>
      </c>
      <c r="F173" s="243">
        <v>2.5</v>
      </c>
      <c r="G173" s="207">
        <f>F173*E173</f>
        <v>12.5</v>
      </c>
      <c r="H173" s="32"/>
      <c r="I173" s="334"/>
      <c r="J173" s="32"/>
      <c r="L173" s="165"/>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32"/>
      <c r="FT173" s="32"/>
      <c r="FU173" s="32"/>
      <c r="FV173" s="32"/>
      <c r="FW173" s="32"/>
      <c r="FX173" s="32"/>
      <c r="FY173" s="32"/>
      <c r="FZ173" s="32"/>
      <c r="GA173" s="32"/>
      <c r="GB173" s="32"/>
      <c r="GC173" s="32"/>
      <c r="GD173" s="32"/>
      <c r="GE173" s="32"/>
      <c r="GF173" s="32"/>
      <c r="GG173" s="32"/>
      <c r="GH173" s="32"/>
      <c r="GI173" s="32"/>
      <c r="GJ173" s="32"/>
      <c r="GK173" s="32"/>
      <c r="GL173" s="32"/>
      <c r="GM173" s="32"/>
      <c r="GN173" s="32"/>
      <c r="GO173" s="32"/>
      <c r="GP173" s="32"/>
      <c r="GQ173" s="32"/>
      <c r="GR173" s="32"/>
      <c r="GS173" s="32"/>
      <c r="GT173" s="32"/>
      <c r="GU173" s="32"/>
      <c r="GV173" s="32"/>
      <c r="GW173" s="32"/>
      <c r="GX173" s="32"/>
      <c r="GY173" s="32"/>
      <c r="GZ173" s="32"/>
      <c r="HA173" s="32"/>
      <c r="HB173" s="32"/>
      <c r="HC173" s="32"/>
      <c r="HD173" s="32"/>
      <c r="HE173" s="32"/>
      <c r="HF173" s="32"/>
      <c r="HG173" s="32"/>
      <c r="HH173" s="32"/>
      <c r="HI173" s="32"/>
      <c r="HJ173" s="32"/>
      <c r="HK173" s="32"/>
      <c r="HL173" s="32"/>
      <c r="HM173" s="32"/>
      <c r="HN173" s="32"/>
      <c r="HO173" s="32"/>
      <c r="HP173" s="32"/>
    </row>
    <row r="174" spans="2:224" x14ac:dyDescent="0.5">
      <c r="B174" s="226"/>
      <c r="C174" s="21"/>
      <c r="D174" s="227"/>
      <c r="E174" s="227"/>
      <c r="F174" s="243"/>
      <c r="G174" s="207"/>
      <c r="H174" s="32"/>
      <c r="I174" s="334"/>
      <c r="J174" s="32"/>
      <c r="L174" s="165"/>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32"/>
      <c r="FT174" s="32"/>
      <c r="FU174" s="32"/>
      <c r="FV174" s="32"/>
      <c r="FW174" s="32"/>
      <c r="FX174" s="32"/>
      <c r="FY174" s="32"/>
      <c r="FZ174" s="32"/>
      <c r="GA174" s="32"/>
      <c r="GB174" s="32"/>
      <c r="GC174" s="32"/>
      <c r="GD174" s="32"/>
      <c r="GE174" s="32"/>
      <c r="GF174" s="32"/>
      <c r="GG174" s="32"/>
      <c r="GH174" s="32"/>
      <c r="GI174" s="32"/>
      <c r="GJ174" s="32"/>
      <c r="GK174" s="32"/>
      <c r="GL174" s="32"/>
      <c r="GM174" s="32"/>
      <c r="GN174" s="32"/>
      <c r="GO174" s="32"/>
      <c r="GP174" s="32"/>
      <c r="GQ174" s="32"/>
      <c r="GR174" s="32"/>
      <c r="GS174" s="32"/>
      <c r="GT174" s="32"/>
      <c r="GU174" s="32"/>
      <c r="GV174" s="32"/>
      <c r="GW174" s="32"/>
      <c r="GX174" s="32"/>
      <c r="GY174" s="32"/>
      <c r="GZ174" s="32"/>
      <c r="HA174" s="32"/>
      <c r="HB174" s="32"/>
      <c r="HC174" s="32"/>
      <c r="HD174" s="32"/>
      <c r="HE174" s="32"/>
      <c r="HF174" s="32"/>
      <c r="HG174" s="32"/>
      <c r="HH174" s="32"/>
      <c r="HI174" s="32"/>
      <c r="HJ174" s="32"/>
      <c r="HK174" s="32"/>
      <c r="HL174" s="32"/>
      <c r="HM174" s="32"/>
      <c r="HN174" s="32"/>
      <c r="HO174" s="32"/>
      <c r="HP174" s="32"/>
    </row>
    <row r="175" spans="2:224" x14ac:dyDescent="0.5">
      <c r="B175" s="226">
        <v>18</v>
      </c>
      <c r="C175" s="21" t="s">
        <v>328</v>
      </c>
      <c r="D175" s="227" t="s">
        <v>329</v>
      </c>
      <c r="E175" s="227"/>
      <c r="F175" s="243"/>
      <c r="G175" s="207"/>
      <c r="H175" s="32"/>
      <c r="I175" s="334"/>
      <c r="J175" s="32"/>
      <c r="L175" s="165"/>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32"/>
      <c r="FT175" s="32"/>
      <c r="FU175" s="32"/>
      <c r="FV175" s="32"/>
      <c r="FW175" s="32"/>
      <c r="FX175" s="32"/>
      <c r="FY175" s="32"/>
      <c r="FZ175" s="32"/>
      <c r="GA175" s="32"/>
      <c r="GB175" s="32"/>
      <c r="GC175" s="32"/>
      <c r="GD175" s="32"/>
      <c r="GE175" s="32"/>
      <c r="GF175" s="32"/>
      <c r="GG175" s="32"/>
      <c r="GH175" s="32"/>
      <c r="GI175" s="32"/>
      <c r="GJ175" s="32"/>
      <c r="GK175" s="32"/>
      <c r="GL175" s="32"/>
      <c r="GM175" s="32"/>
      <c r="GN175" s="32"/>
      <c r="GO175" s="32"/>
      <c r="GP175" s="32"/>
      <c r="GQ175" s="32"/>
      <c r="GR175" s="32"/>
      <c r="GS175" s="32"/>
      <c r="GT175" s="32"/>
      <c r="GU175" s="32"/>
      <c r="GV175" s="32"/>
      <c r="GW175" s="32"/>
      <c r="GX175" s="32"/>
      <c r="GY175" s="32"/>
      <c r="GZ175" s="32"/>
      <c r="HA175" s="32"/>
      <c r="HB175" s="32"/>
      <c r="HC175" s="32"/>
      <c r="HD175" s="32"/>
      <c r="HE175" s="32"/>
      <c r="HF175" s="32"/>
      <c r="HG175" s="32"/>
      <c r="HH175" s="32"/>
      <c r="HI175" s="32"/>
      <c r="HJ175" s="32"/>
      <c r="HK175" s="32"/>
      <c r="HL175" s="32"/>
      <c r="HM175" s="32"/>
      <c r="HN175" s="32"/>
      <c r="HO175" s="32"/>
      <c r="HP175" s="32"/>
    </row>
    <row r="176" spans="2:224" ht="21.75" x14ac:dyDescent="1.05">
      <c r="B176" s="226"/>
      <c r="C176" s="81"/>
      <c r="D176" s="244"/>
      <c r="E176" s="244"/>
      <c r="F176" s="242"/>
      <c r="G176" s="208"/>
      <c r="H176" s="32"/>
      <c r="I176" s="334"/>
      <c r="J176" s="32"/>
      <c r="L176" s="165"/>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32"/>
      <c r="FT176" s="32"/>
      <c r="FU176" s="32"/>
      <c r="FV176" s="32"/>
      <c r="FW176" s="32"/>
      <c r="FX176" s="32"/>
      <c r="FY176" s="32"/>
      <c r="FZ176" s="32"/>
      <c r="GA176" s="32"/>
      <c r="GB176" s="32"/>
      <c r="GC176" s="32"/>
      <c r="GD176" s="32"/>
      <c r="GE176" s="32"/>
      <c r="GF176" s="32"/>
      <c r="GG176" s="32"/>
      <c r="GH176" s="32"/>
      <c r="GI176" s="32"/>
      <c r="GJ176" s="32"/>
      <c r="GK176" s="32"/>
      <c r="GL176" s="32"/>
      <c r="GM176" s="32"/>
      <c r="GN176" s="32"/>
      <c r="GO176" s="32"/>
      <c r="GP176" s="32"/>
      <c r="GQ176" s="32"/>
      <c r="GR176" s="32"/>
      <c r="GS176" s="32"/>
      <c r="GT176" s="32"/>
      <c r="GU176" s="32"/>
      <c r="GV176" s="32"/>
      <c r="GW176" s="32"/>
      <c r="GX176" s="32"/>
      <c r="GY176" s="32"/>
      <c r="GZ176" s="32"/>
      <c r="HA176" s="32"/>
      <c r="HB176" s="32"/>
      <c r="HC176" s="32"/>
      <c r="HD176" s="32"/>
      <c r="HE176" s="32"/>
      <c r="HF176" s="32"/>
      <c r="HG176" s="32"/>
      <c r="HH176" s="32"/>
      <c r="HI176" s="32"/>
      <c r="HJ176" s="32"/>
      <c r="HK176" s="32"/>
      <c r="HL176" s="32"/>
      <c r="HM176" s="32"/>
      <c r="HN176" s="32"/>
      <c r="HO176" s="32"/>
      <c r="HP176" s="32"/>
    </row>
    <row r="177" spans="2:224" ht="17.25" x14ac:dyDescent="0.45">
      <c r="B177" s="160"/>
      <c r="C177" s="312" t="s">
        <v>53</v>
      </c>
      <c r="D177" s="78"/>
      <c r="E177" s="79"/>
      <c r="F177" s="82"/>
      <c r="G177" s="304">
        <f>SUM(G145:G176)</f>
        <v>3907.3378616479999</v>
      </c>
      <c r="H177" s="32"/>
      <c r="I177" s="334"/>
      <c r="J177" s="32"/>
      <c r="L177" s="165"/>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32"/>
      <c r="FT177" s="32"/>
      <c r="FU177" s="32"/>
      <c r="FV177" s="32"/>
      <c r="FW177" s="32"/>
      <c r="FX177" s="32"/>
      <c r="FY177" s="32"/>
      <c r="FZ177" s="32"/>
      <c r="GA177" s="32"/>
      <c r="GB177" s="32"/>
      <c r="GC177" s="32"/>
      <c r="GD177" s="32"/>
      <c r="GE177" s="32"/>
      <c r="GF177" s="32"/>
      <c r="GG177" s="32"/>
      <c r="GH177" s="32"/>
      <c r="GI177" s="32"/>
      <c r="GJ177" s="32"/>
      <c r="GK177" s="32"/>
      <c r="GL177" s="32"/>
      <c r="GM177" s="32"/>
      <c r="GN177" s="32"/>
      <c r="GO177" s="32"/>
      <c r="GP177" s="32"/>
      <c r="GQ177" s="32"/>
      <c r="GR177" s="32"/>
      <c r="GS177" s="32"/>
      <c r="GT177" s="32"/>
      <c r="GU177" s="32"/>
      <c r="GV177" s="32"/>
      <c r="GW177" s="32"/>
      <c r="GX177" s="32"/>
      <c r="GY177" s="32"/>
      <c r="GZ177" s="32"/>
      <c r="HA177" s="32"/>
      <c r="HB177" s="32"/>
      <c r="HC177" s="32"/>
      <c r="HD177" s="32"/>
      <c r="HE177" s="32"/>
      <c r="HF177" s="32"/>
      <c r="HG177" s="32"/>
      <c r="HH177" s="32"/>
      <c r="HI177" s="32"/>
      <c r="HJ177" s="32"/>
      <c r="HK177" s="32"/>
      <c r="HL177" s="32"/>
      <c r="HM177" s="32"/>
      <c r="HN177" s="32"/>
      <c r="HO177" s="32"/>
      <c r="HP177" s="32"/>
    </row>
    <row r="178" spans="2:224" ht="17.25" x14ac:dyDescent="0.45">
      <c r="B178" s="154"/>
      <c r="C178" s="313"/>
      <c r="D178" s="149"/>
      <c r="E178" s="150"/>
      <c r="F178" s="133"/>
      <c r="G178" s="314"/>
      <c r="H178" s="32"/>
      <c r="I178" s="334"/>
      <c r="J178" s="32"/>
      <c r="L178" s="165"/>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32"/>
      <c r="FT178" s="32"/>
      <c r="FU178" s="32"/>
      <c r="FV178" s="32"/>
      <c r="FW178" s="32"/>
      <c r="FX178" s="32"/>
      <c r="FY178" s="32"/>
      <c r="FZ178" s="32"/>
      <c r="GA178" s="32"/>
      <c r="GB178" s="32"/>
      <c r="GC178" s="32"/>
      <c r="GD178" s="32"/>
      <c r="GE178" s="32"/>
      <c r="GF178" s="32"/>
      <c r="GG178" s="32"/>
      <c r="GH178" s="32"/>
      <c r="GI178" s="32"/>
      <c r="GJ178" s="32"/>
      <c r="GK178" s="32"/>
      <c r="GL178" s="32"/>
      <c r="GM178" s="32"/>
      <c r="GN178" s="32"/>
      <c r="GO178" s="32"/>
      <c r="GP178" s="32"/>
      <c r="GQ178" s="32"/>
      <c r="GR178" s="32"/>
      <c r="GS178" s="32"/>
      <c r="GT178" s="32"/>
      <c r="GU178" s="32"/>
      <c r="GV178" s="32"/>
      <c r="GW178" s="32"/>
      <c r="GX178" s="32"/>
      <c r="GY178" s="32"/>
      <c r="GZ178" s="32"/>
      <c r="HA178" s="32"/>
      <c r="HB178" s="32"/>
      <c r="HC178" s="32"/>
      <c r="HD178" s="32"/>
      <c r="HE178" s="32"/>
      <c r="HF178" s="32"/>
      <c r="HG178" s="32"/>
      <c r="HH178" s="32"/>
      <c r="HI178" s="32"/>
      <c r="HJ178" s="32"/>
      <c r="HK178" s="32"/>
      <c r="HL178" s="32"/>
      <c r="HM178" s="32"/>
      <c r="HN178" s="32"/>
      <c r="HO178" s="32"/>
      <c r="HP178" s="32"/>
    </row>
    <row r="179" spans="2:224" ht="17.25" x14ac:dyDescent="0.45">
      <c r="B179" s="154"/>
      <c r="C179" s="313"/>
      <c r="D179" s="149"/>
      <c r="E179" s="150"/>
      <c r="F179" s="133"/>
      <c r="G179" s="314"/>
      <c r="H179" s="32"/>
      <c r="I179" s="334"/>
      <c r="J179" s="32"/>
      <c r="L179" s="165"/>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32"/>
      <c r="FT179" s="32"/>
      <c r="FU179" s="32"/>
      <c r="FV179" s="32"/>
      <c r="FW179" s="32"/>
      <c r="FX179" s="32"/>
      <c r="FY179" s="32"/>
      <c r="FZ179" s="32"/>
      <c r="GA179" s="32"/>
      <c r="GB179" s="32"/>
      <c r="GC179" s="32"/>
      <c r="GD179" s="32"/>
      <c r="GE179" s="32"/>
      <c r="GF179" s="32"/>
      <c r="GG179" s="32"/>
      <c r="GH179" s="32"/>
      <c r="GI179" s="32"/>
      <c r="GJ179" s="32"/>
      <c r="GK179" s="32"/>
      <c r="GL179" s="32"/>
      <c r="GM179" s="32"/>
      <c r="GN179" s="32"/>
      <c r="GO179" s="32"/>
      <c r="GP179" s="32"/>
      <c r="GQ179" s="32"/>
      <c r="GR179" s="32"/>
      <c r="GS179" s="32"/>
      <c r="GT179" s="32"/>
      <c r="GU179" s="32"/>
      <c r="GV179" s="32"/>
      <c r="GW179" s="32"/>
      <c r="GX179" s="32"/>
      <c r="GY179" s="32"/>
      <c r="GZ179" s="32"/>
      <c r="HA179" s="32"/>
      <c r="HB179" s="32"/>
      <c r="HC179" s="32"/>
      <c r="HD179" s="32"/>
      <c r="HE179" s="32"/>
      <c r="HF179" s="32"/>
      <c r="HG179" s="32"/>
      <c r="HH179" s="32"/>
      <c r="HI179" s="32"/>
      <c r="HJ179" s="32"/>
      <c r="HK179" s="32"/>
      <c r="HL179" s="32"/>
      <c r="HM179" s="32"/>
      <c r="HN179" s="32"/>
      <c r="HO179" s="32"/>
      <c r="HP179" s="32"/>
    </row>
    <row r="180" spans="2:224" ht="17.25" x14ac:dyDescent="0.45">
      <c r="B180" s="154"/>
      <c r="C180" s="313"/>
      <c r="D180" s="149"/>
      <c r="E180" s="150"/>
      <c r="F180" s="133"/>
      <c r="G180" s="314"/>
      <c r="H180" s="32"/>
      <c r="I180" s="334"/>
      <c r="J180" s="32"/>
      <c r="L180" s="165"/>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32"/>
      <c r="FT180" s="32"/>
      <c r="FU180" s="32"/>
      <c r="FV180" s="32"/>
      <c r="FW180" s="32"/>
      <c r="FX180" s="32"/>
      <c r="FY180" s="32"/>
      <c r="FZ180" s="32"/>
      <c r="GA180" s="32"/>
      <c r="GB180" s="32"/>
      <c r="GC180" s="32"/>
      <c r="GD180" s="32"/>
      <c r="GE180" s="32"/>
      <c r="GF180" s="32"/>
      <c r="GG180" s="32"/>
      <c r="GH180" s="32"/>
      <c r="GI180" s="32"/>
      <c r="GJ180" s="32"/>
      <c r="GK180" s="32"/>
      <c r="GL180" s="32"/>
      <c r="GM180" s="32"/>
      <c r="GN180" s="32"/>
      <c r="GO180" s="32"/>
      <c r="GP180" s="32"/>
      <c r="GQ180" s="32"/>
      <c r="GR180" s="32"/>
      <c r="GS180" s="32"/>
      <c r="GT180" s="32"/>
      <c r="GU180" s="32"/>
      <c r="GV180" s="32"/>
      <c r="GW180" s="32"/>
      <c r="GX180" s="32"/>
      <c r="GY180" s="32"/>
      <c r="GZ180" s="32"/>
      <c r="HA180" s="32"/>
      <c r="HB180" s="32"/>
      <c r="HC180" s="32"/>
      <c r="HD180" s="32"/>
      <c r="HE180" s="32"/>
      <c r="HF180" s="32"/>
      <c r="HG180" s="32"/>
      <c r="HH180" s="32"/>
      <c r="HI180" s="32"/>
      <c r="HJ180" s="32"/>
      <c r="HK180" s="32"/>
      <c r="HL180" s="32"/>
      <c r="HM180" s="32"/>
      <c r="HN180" s="32"/>
      <c r="HO180" s="32"/>
      <c r="HP180" s="32"/>
    </row>
    <row r="181" spans="2:224" ht="21.75" x14ac:dyDescent="1.05">
      <c r="B181" s="154"/>
      <c r="C181" s="148"/>
      <c r="D181" s="149"/>
      <c r="E181" s="150"/>
      <c r="F181" s="133"/>
      <c r="G181" s="205"/>
      <c r="H181" s="32"/>
      <c r="I181" s="334"/>
      <c r="J181" s="32"/>
      <c r="L181" s="165"/>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32"/>
      <c r="FT181" s="32"/>
      <c r="FU181" s="32"/>
      <c r="FV181" s="32"/>
      <c r="FW181" s="32"/>
      <c r="FX181" s="32"/>
      <c r="FY181" s="32"/>
      <c r="FZ181" s="32"/>
      <c r="GA181" s="32"/>
      <c r="GB181" s="32"/>
      <c r="GC181" s="32"/>
      <c r="GD181" s="32"/>
      <c r="GE181" s="32"/>
      <c r="GF181" s="32"/>
      <c r="GG181" s="32"/>
      <c r="GH181" s="32"/>
      <c r="GI181" s="32"/>
      <c r="GJ181" s="32"/>
      <c r="GK181" s="32"/>
      <c r="GL181" s="32"/>
      <c r="GM181" s="32"/>
      <c r="GN181" s="32"/>
      <c r="GO181" s="32"/>
      <c r="GP181" s="32"/>
      <c r="GQ181" s="32"/>
      <c r="GR181" s="32"/>
      <c r="GS181" s="32"/>
      <c r="GT181" s="32"/>
      <c r="GU181" s="32"/>
      <c r="GV181" s="32"/>
      <c r="GW181" s="32"/>
      <c r="GX181" s="32"/>
      <c r="GY181" s="32"/>
      <c r="GZ181" s="32"/>
      <c r="HA181" s="32"/>
      <c r="HB181" s="32"/>
      <c r="HC181" s="32"/>
      <c r="HD181" s="32"/>
      <c r="HE181" s="32"/>
      <c r="HF181" s="32"/>
      <c r="HG181" s="32"/>
      <c r="HH181" s="32"/>
      <c r="HI181" s="32"/>
      <c r="HJ181" s="32"/>
      <c r="HK181" s="32"/>
      <c r="HL181" s="32"/>
      <c r="HM181" s="32"/>
      <c r="HN181" s="32"/>
      <c r="HO181" s="32"/>
      <c r="HP181" s="32"/>
    </row>
    <row r="182" spans="2:224" ht="17.25" x14ac:dyDescent="0.45">
      <c r="B182" s="315" t="s">
        <v>56</v>
      </c>
      <c r="C182" s="316"/>
      <c r="D182" s="317"/>
      <c r="E182" s="318"/>
      <c r="F182" s="319"/>
      <c r="G182" s="292"/>
      <c r="H182" s="32"/>
      <c r="I182" s="334"/>
      <c r="J182" s="32"/>
      <c r="L182" s="165"/>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32"/>
      <c r="FT182" s="32"/>
      <c r="FU182" s="32"/>
      <c r="FV182" s="32"/>
      <c r="FW182" s="32"/>
      <c r="FX182" s="32"/>
      <c r="FY182" s="32"/>
      <c r="FZ182" s="32"/>
      <c r="GA182" s="32"/>
      <c r="GB182" s="32"/>
      <c r="GC182" s="32"/>
      <c r="GD182" s="32"/>
      <c r="GE182" s="32"/>
      <c r="GF182" s="32"/>
      <c r="GG182" s="32"/>
      <c r="GH182" s="32"/>
      <c r="GI182" s="32"/>
      <c r="GJ182" s="32"/>
      <c r="GK182" s="32"/>
      <c r="GL182" s="32"/>
      <c r="GM182" s="32"/>
      <c r="GN182" s="32"/>
      <c r="GO182" s="32"/>
      <c r="GP182" s="32"/>
      <c r="GQ182" s="32"/>
      <c r="GR182" s="32"/>
      <c r="GS182" s="32"/>
      <c r="GT182" s="32"/>
      <c r="GU182" s="32"/>
      <c r="GV182" s="32"/>
      <c r="GW182" s="32"/>
      <c r="GX182" s="32"/>
      <c r="GY182" s="32"/>
      <c r="GZ182" s="32"/>
      <c r="HA182" s="32"/>
      <c r="HB182" s="32"/>
      <c r="HC182" s="32"/>
      <c r="HD182" s="32"/>
      <c r="HE182" s="32"/>
      <c r="HF182" s="32"/>
      <c r="HG182" s="32"/>
      <c r="HH182" s="32"/>
      <c r="HI182" s="32"/>
      <c r="HJ182" s="32"/>
      <c r="HK182" s="32"/>
      <c r="HL182" s="32"/>
      <c r="HM182" s="32"/>
      <c r="HN182" s="32"/>
      <c r="HO182" s="32"/>
      <c r="HP182" s="32"/>
    </row>
    <row r="183" spans="2:224" ht="17.25" x14ac:dyDescent="0.45">
      <c r="B183" s="291" t="s">
        <v>8</v>
      </c>
      <c r="C183" s="286" t="s">
        <v>240</v>
      </c>
      <c r="D183" s="287" t="s">
        <v>9</v>
      </c>
      <c r="E183" s="288" t="s">
        <v>10</v>
      </c>
      <c r="F183" s="289" t="s">
        <v>11</v>
      </c>
      <c r="G183" s="290" t="s">
        <v>12</v>
      </c>
      <c r="H183" s="32"/>
      <c r="I183" s="334"/>
      <c r="J183" s="32"/>
      <c r="L183" s="165"/>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32"/>
      <c r="FT183" s="32"/>
      <c r="FU183" s="32"/>
      <c r="FV183" s="32"/>
      <c r="FW183" s="32"/>
      <c r="FX183" s="32"/>
      <c r="FY183" s="32"/>
      <c r="FZ183" s="32"/>
      <c r="GA183" s="32"/>
      <c r="GB183" s="32"/>
      <c r="GC183" s="32"/>
      <c r="GD183" s="32"/>
      <c r="GE183" s="32"/>
      <c r="GF183" s="32"/>
      <c r="GG183" s="32"/>
      <c r="GH183" s="32"/>
      <c r="GI183" s="32"/>
      <c r="GJ183" s="32"/>
      <c r="GK183" s="32"/>
      <c r="GL183" s="32"/>
      <c r="GM183" s="32"/>
      <c r="GN183" s="32"/>
      <c r="GO183" s="32"/>
      <c r="GP183" s="32"/>
      <c r="GQ183" s="32"/>
      <c r="GR183" s="32"/>
      <c r="GS183" s="32"/>
      <c r="GT183" s="32"/>
      <c r="GU183" s="32"/>
      <c r="GV183" s="32"/>
      <c r="GW183" s="32"/>
      <c r="GX183" s="32"/>
      <c r="GY183" s="32"/>
      <c r="GZ183" s="32"/>
      <c r="HA183" s="32"/>
      <c r="HB183" s="32"/>
      <c r="HC183" s="32"/>
      <c r="HD183" s="32"/>
      <c r="HE183" s="32"/>
      <c r="HF183" s="32"/>
      <c r="HG183" s="32"/>
      <c r="HH183" s="32"/>
      <c r="HI183" s="32"/>
      <c r="HJ183" s="32"/>
      <c r="HK183" s="32"/>
      <c r="HL183" s="32"/>
      <c r="HM183" s="32"/>
      <c r="HN183" s="32"/>
      <c r="HO183" s="32"/>
      <c r="HP183" s="32"/>
    </row>
    <row r="184" spans="2:224" x14ac:dyDescent="0.5">
      <c r="B184" s="146"/>
      <c r="C184" s="21"/>
      <c r="D184" s="46"/>
      <c r="E184" s="22"/>
      <c r="F184" s="44"/>
      <c r="G184" s="194"/>
      <c r="H184" s="32"/>
      <c r="I184" s="334"/>
      <c r="J184" s="32"/>
      <c r="L184" s="165"/>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32"/>
      <c r="FT184" s="32"/>
      <c r="FU184" s="32"/>
      <c r="FV184" s="32"/>
      <c r="FW184" s="32"/>
      <c r="FX184" s="32"/>
      <c r="FY184" s="32"/>
      <c r="FZ184" s="32"/>
      <c r="GA184" s="32"/>
      <c r="GB184" s="32"/>
      <c r="GC184" s="32"/>
      <c r="GD184" s="32"/>
      <c r="GE184" s="32"/>
      <c r="GF184" s="32"/>
      <c r="GG184" s="32"/>
      <c r="GH184" s="32"/>
      <c r="GI184" s="32"/>
      <c r="GJ184" s="32"/>
      <c r="GK184" s="32"/>
      <c r="GL184" s="32"/>
      <c r="GM184" s="32"/>
      <c r="GN184" s="32"/>
      <c r="GO184" s="32"/>
      <c r="GP184" s="32"/>
      <c r="GQ184" s="32"/>
      <c r="GR184" s="32"/>
      <c r="GS184" s="32"/>
      <c r="GT184" s="32"/>
      <c r="GU184" s="32"/>
      <c r="GV184" s="32"/>
      <c r="GW184" s="32"/>
      <c r="GX184" s="32"/>
      <c r="GY184" s="32"/>
      <c r="GZ184" s="32"/>
      <c r="HA184" s="32"/>
      <c r="HB184" s="32"/>
      <c r="HC184" s="32"/>
      <c r="HD184" s="32"/>
      <c r="HE184" s="32"/>
      <c r="HF184" s="32"/>
      <c r="HG184" s="32"/>
      <c r="HH184" s="32"/>
      <c r="HI184" s="32"/>
      <c r="HJ184" s="32"/>
      <c r="HK184" s="32"/>
      <c r="HL184" s="32"/>
      <c r="HM184" s="32"/>
      <c r="HN184" s="32"/>
      <c r="HO184" s="32"/>
      <c r="HP184" s="32"/>
    </row>
    <row r="185" spans="2:224" x14ac:dyDescent="0.5">
      <c r="B185" s="152"/>
      <c r="C185" s="37" t="s">
        <v>57</v>
      </c>
      <c r="D185" s="83"/>
      <c r="E185" s="48"/>
      <c r="F185" s="44"/>
      <c r="G185" s="209"/>
      <c r="H185" s="32"/>
      <c r="I185" s="334"/>
      <c r="J185" s="32"/>
      <c r="L185" s="165"/>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32"/>
      <c r="FT185" s="32"/>
      <c r="FU185" s="32"/>
      <c r="FV185" s="32"/>
      <c r="FW185" s="32"/>
      <c r="FX185" s="32"/>
      <c r="FY185" s="32"/>
      <c r="FZ185" s="32"/>
      <c r="GA185" s="32"/>
      <c r="GB185" s="32"/>
      <c r="GC185" s="32"/>
      <c r="GD185" s="32"/>
      <c r="GE185" s="32"/>
      <c r="GF185" s="32"/>
      <c r="GG185" s="32"/>
      <c r="GH185" s="32"/>
      <c r="GI185" s="32"/>
      <c r="GJ185" s="32"/>
      <c r="GK185" s="32"/>
      <c r="GL185" s="32"/>
      <c r="GM185" s="32"/>
      <c r="GN185" s="32"/>
      <c r="GO185" s="32"/>
      <c r="GP185" s="32"/>
      <c r="GQ185" s="32"/>
      <c r="GR185" s="32"/>
      <c r="GS185" s="32"/>
      <c r="GT185" s="32"/>
      <c r="GU185" s="32"/>
      <c r="GV185" s="32"/>
      <c r="GW185" s="32"/>
      <c r="GX185" s="32"/>
      <c r="GY185" s="32"/>
      <c r="GZ185" s="32"/>
      <c r="HA185" s="32"/>
      <c r="HB185" s="32"/>
      <c r="HC185" s="32"/>
      <c r="HD185" s="32"/>
      <c r="HE185" s="32"/>
      <c r="HF185" s="32"/>
      <c r="HG185" s="32"/>
      <c r="HH185" s="32"/>
      <c r="HI185" s="32"/>
      <c r="HJ185" s="32"/>
      <c r="HK185" s="32"/>
      <c r="HL185" s="32"/>
      <c r="HM185" s="32"/>
      <c r="HN185" s="32"/>
      <c r="HO185" s="32"/>
      <c r="HP185" s="32"/>
    </row>
    <row r="186" spans="2:224" x14ac:dyDescent="0.5">
      <c r="B186" s="226">
        <v>1</v>
      </c>
      <c r="C186" s="21" t="s">
        <v>291</v>
      </c>
      <c r="D186" s="227" t="s">
        <v>15</v>
      </c>
      <c r="E186" s="227">
        <v>1</v>
      </c>
      <c r="F186" s="230">
        <v>25</v>
      </c>
      <c r="G186" s="209">
        <f>F186*E186</f>
        <v>25</v>
      </c>
      <c r="H186" s="32"/>
      <c r="I186" s="334"/>
      <c r="J186" s="32"/>
      <c r="L186" s="165"/>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32"/>
      <c r="FT186" s="32"/>
      <c r="FU186" s="32"/>
      <c r="FV186" s="32"/>
      <c r="FW186" s="32"/>
      <c r="FX186" s="32"/>
      <c r="FY186" s="32"/>
      <c r="FZ186" s="32"/>
      <c r="GA186" s="32"/>
      <c r="GB186" s="32"/>
      <c r="GC186" s="32"/>
      <c r="GD186" s="32"/>
      <c r="GE186" s="32"/>
      <c r="GF186" s="32"/>
      <c r="GG186" s="32"/>
      <c r="GH186" s="32"/>
      <c r="GI186" s="32"/>
      <c r="GJ186" s="32"/>
      <c r="GK186" s="32"/>
      <c r="GL186" s="32"/>
      <c r="GM186" s="32"/>
      <c r="GN186" s="32"/>
      <c r="GO186" s="32"/>
      <c r="GP186" s="32"/>
      <c r="GQ186" s="32"/>
      <c r="GR186" s="32"/>
      <c r="GS186" s="32"/>
      <c r="GT186" s="32"/>
      <c r="GU186" s="32"/>
      <c r="GV186" s="32"/>
      <c r="GW186" s="32"/>
      <c r="GX186" s="32"/>
      <c r="GY186" s="32"/>
      <c r="GZ186" s="32"/>
      <c r="HA186" s="32"/>
      <c r="HB186" s="32"/>
      <c r="HC186" s="32"/>
      <c r="HD186" s="32"/>
      <c r="HE186" s="32"/>
      <c r="HF186" s="32"/>
      <c r="HG186" s="32"/>
      <c r="HH186" s="32"/>
      <c r="HI186" s="32"/>
      <c r="HJ186" s="32"/>
      <c r="HK186" s="32"/>
      <c r="HL186" s="32"/>
      <c r="HM186" s="32"/>
      <c r="HN186" s="32"/>
      <c r="HO186" s="32"/>
      <c r="HP186" s="32"/>
    </row>
    <row r="187" spans="2:224" x14ac:dyDescent="0.5">
      <c r="B187" s="226"/>
      <c r="C187" s="21"/>
      <c r="D187" s="227"/>
      <c r="E187" s="227"/>
      <c r="F187" s="230"/>
      <c r="G187" s="209"/>
      <c r="H187" s="32"/>
      <c r="I187" s="334"/>
      <c r="J187" s="32"/>
      <c r="L187" s="165"/>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32"/>
      <c r="FT187" s="32"/>
      <c r="FU187" s="32"/>
      <c r="FV187" s="32"/>
      <c r="FW187" s="32"/>
      <c r="FX187" s="32"/>
      <c r="FY187" s="32"/>
      <c r="FZ187" s="32"/>
      <c r="GA187" s="32"/>
      <c r="GB187" s="32"/>
      <c r="GC187" s="32"/>
      <c r="GD187" s="32"/>
      <c r="GE187" s="32"/>
      <c r="GF187" s="32"/>
      <c r="GG187" s="32"/>
      <c r="GH187" s="32"/>
      <c r="GI187" s="32"/>
      <c r="GJ187" s="32"/>
      <c r="GK187" s="32"/>
      <c r="GL187" s="32"/>
      <c r="GM187" s="32"/>
      <c r="GN187" s="32"/>
      <c r="GO187" s="32"/>
      <c r="GP187" s="32"/>
      <c r="GQ187" s="32"/>
      <c r="GR187" s="32"/>
      <c r="GS187" s="32"/>
      <c r="GT187" s="32"/>
      <c r="GU187" s="32"/>
      <c r="GV187" s="32"/>
      <c r="GW187" s="32"/>
      <c r="GX187" s="32"/>
      <c r="GY187" s="32"/>
      <c r="GZ187" s="32"/>
      <c r="HA187" s="32"/>
      <c r="HB187" s="32"/>
      <c r="HC187" s="32"/>
      <c r="HD187" s="32"/>
      <c r="HE187" s="32"/>
      <c r="HF187" s="32"/>
      <c r="HG187" s="32"/>
      <c r="HH187" s="32"/>
      <c r="HI187" s="32"/>
      <c r="HJ187" s="32"/>
      <c r="HK187" s="32"/>
      <c r="HL187" s="32"/>
      <c r="HM187" s="32"/>
      <c r="HN187" s="32"/>
      <c r="HO187" s="32"/>
      <c r="HP187" s="32"/>
    </row>
    <row r="188" spans="2:224" x14ac:dyDescent="0.5">
      <c r="B188" s="226">
        <v>2</v>
      </c>
      <c r="C188" s="21" t="s">
        <v>249</v>
      </c>
      <c r="D188" s="227" t="s">
        <v>15</v>
      </c>
      <c r="E188" s="227">
        <v>1</v>
      </c>
      <c r="F188" s="230">
        <v>35</v>
      </c>
      <c r="G188" s="209">
        <f>F188*E188</f>
        <v>35</v>
      </c>
      <c r="H188" s="32"/>
      <c r="I188" s="334"/>
      <c r="J188" s="32"/>
      <c r="L188" s="165"/>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32"/>
      <c r="FT188" s="32"/>
      <c r="FU188" s="32"/>
      <c r="FV188" s="32"/>
      <c r="FW188" s="32"/>
      <c r="FX188" s="32"/>
      <c r="FY188" s="32"/>
      <c r="FZ188" s="32"/>
      <c r="GA188" s="32"/>
      <c r="GB188" s="32"/>
      <c r="GC188" s="32"/>
      <c r="GD188" s="32"/>
      <c r="GE188" s="32"/>
      <c r="GF188" s="32"/>
      <c r="GG188" s="32"/>
      <c r="GH188" s="32"/>
      <c r="GI188" s="32"/>
      <c r="GJ188" s="32"/>
      <c r="GK188" s="32"/>
      <c r="GL188" s="32"/>
      <c r="GM188" s="32"/>
      <c r="GN188" s="32"/>
      <c r="GO188" s="32"/>
      <c r="GP188" s="32"/>
      <c r="GQ188" s="32"/>
      <c r="GR188" s="32"/>
      <c r="GS188" s="32"/>
      <c r="GT188" s="32"/>
      <c r="GU188" s="32"/>
      <c r="GV188" s="32"/>
      <c r="GW188" s="32"/>
      <c r="GX188" s="32"/>
      <c r="GY188" s="32"/>
      <c r="GZ188" s="32"/>
      <c r="HA188" s="32"/>
      <c r="HB188" s="32"/>
      <c r="HC188" s="32"/>
      <c r="HD188" s="32"/>
      <c r="HE188" s="32"/>
      <c r="HF188" s="32"/>
      <c r="HG188" s="32"/>
      <c r="HH188" s="32"/>
      <c r="HI188" s="32"/>
      <c r="HJ188" s="32"/>
      <c r="HK188" s="32"/>
      <c r="HL188" s="32"/>
      <c r="HM188" s="32"/>
      <c r="HN188" s="32"/>
      <c r="HO188" s="32"/>
      <c r="HP188" s="32"/>
    </row>
    <row r="189" spans="2:224" x14ac:dyDescent="0.5">
      <c r="B189" s="146"/>
      <c r="C189" s="84"/>
      <c r="D189" s="46"/>
      <c r="E189" s="22"/>
      <c r="F189" s="44"/>
      <c r="G189" s="209"/>
      <c r="H189" s="32"/>
      <c r="I189" s="334"/>
      <c r="J189" s="32"/>
      <c r="L189" s="165"/>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32"/>
      <c r="FT189" s="32"/>
      <c r="FU189" s="32"/>
      <c r="FV189" s="32"/>
      <c r="FW189" s="32"/>
      <c r="FX189" s="32"/>
      <c r="FY189" s="32"/>
      <c r="FZ189" s="32"/>
      <c r="GA189" s="32"/>
      <c r="GB189" s="32"/>
      <c r="GC189" s="32"/>
      <c r="GD189" s="32"/>
      <c r="GE189" s="32"/>
      <c r="GF189" s="32"/>
      <c r="GG189" s="32"/>
      <c r="GH189" s="32"/>
      <c r="GI189" s="32"/>
      <c r="GJ189" s="32"/>
      <c r="GK189" s="32"/>
      <c r="GL189" s="32"/>
      <c r="GM189" s="32"/>
      <c r="GN189" s="32"/>
      <c r="GO189" s="32"/>
      <c r="GP189" s="32"/>
      <c r="GQ189" s="32"/>
      <c r="GR189" s="32"/>
      <c r="GS189" s="32"/>
      <c r="GT189" s="32"/>
      <c r="GU189" s="32"/>
      <c r="GV189" s="32"/>
      <c r="GW189" s="32"/>
      <c r="GX189" s="32"/>
      <c r="GY189" s="32"/>
      <c r="GZ189" s="32"/>
      <c r="HA189" s="32"/>
      <c r="HB189" s="32"/>
      <c r="HC189" s="32"/>
      <c r="HD189" s="32"/>
      <c r="HE189" s="32"/>
      <c r="HF189" s="32"/>
      <c r="HG189" s="32"/>
      <c r="HH189" s="32"/>
      <c r="HI189" s="32"/>
      <c r="HJ189" s="32"/>
      <c r="HK189" s="32"/>
      <c r="HL189" s="32"/>
      <c r="HM189" s="32"/>
      <c r="HN189" s="32"/>
      <c r="HO189" s="32"/>
      <c r="HP189" s="32"/>
    </row>
    <row r="190" spans="2:224" x14ac:dyDescent="0.5">
      <c r="B190" s="146"/>
      <c r="C190" s="37" t="s">
        <v>58</v>
      </c>
      <c r="D190" s="46"/>
      <c r="E190" s="48"/>
      <c r="F190" s="44"/>
      <c r="G190" s="209"/>
      <c r="H190" s="32"/>
      <c r="I190" s="334"/>
      <c r="J190" s="32"/>
      <c r="L190" s="165"/>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32"/>
      <c r="FT190" s="32"/>
      <c r="FU190" s="32"/>
      <c r="FV190" s="32"/>
      <c r="FW190" s="32"/>
      <c r="FX190" s="32"/>
      <c r="FY190" s="32"/>
      <c r="FZ190" s="32"/>
      <c r="GA190" s="32"/>
      <c r="GB190" s="32"/>
      <c r="GC190" s="32"/>
      <c r="GD190" s="32"/>
      <c r="GE190" s="32"/>
      <c r="GF190" s="32"/>
      <c r="GG190" s="32"/>
      <c r="GH190" s="32"/>
      <c r="GI190" s="32"/>
      <c r="GJ190" s="32"/>
      <c r="GK190" s="32"/>
      <c r="GL190" s="32"/>
      <c r="GM190" s="32"/>
      <c r="GN190" s="32"/>
      <c r="GO190" s="32"/>
      <c r="GP190" s="32"/>
      <c r="GQ190" s="32"/>
      <c r="GR190" s="32"/>
      <c r="GS190" s="32"/>
      <c r="GT190" s="32"/>
      <c r="GU190" s="32"/>
      <c r="GV190" s="32"/>
      <c r="GW190" s="32"/>
      <c r="GX190" s="32"/>
      <c r="GY190" s="32"/>
      <c r="GZ190" s="32"/>
      <c r="HA190" s="32"/>
      <c r="HB190" s="32"/>
      <c r="HC190" s="32"/>
      <c r="HD190" s="32"/>
      <c r="HE190" s="32"/>
      <c r="HF190" s="32"/>
      <c r="HG190" s="32"/>
      <c r="HH190" s="32"/>
      <c r="HI190" s="32"/>
      <c r="HJ190" s="32"/>
      <c r="HK190" s="32"/>
      <c r="HL190" s="32"/>
      <c r="HM190" s="32"/>
      <c r="HN190" s="32"/>
      <c r="HO190" s="32"/>
      <c r="HP190" s="32"/>
    </row>
    <row r="191" spans="2:224" x14ac:dyDescent="0.5">
      <c r="B191" s="226">
        <v>1</v>
      </c>
      <c r="C191" s="21" t="s">
        <v>59</v>
      </c>
      <c r="D191" s="227" t="s">
        <v>15</v>
      </c>
      <c r="E191" s="227">
        <v>3</v>
      </c>
      <c r="F191" s="230">
        <v>4</v>
      </c>
      <c r="G191" s="209">
        <f>F191*E191</f>
        <v>12</v>
      </c>
      <c r="H191" s="32"/>
      <c r="I191" s="334"/>
      <c r="J191" s="32"/>
      <c r="L191" s="165"/>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32"/>
      <c r="GJ191" s="32"/>
      <c r="GK191" s="32"/>
      <c r="GL191" s="32"/>
      <c r="GM191" s="32"/>
      <c r="GN191" s="32"/>
      <c r="GO191" s="32"/>
      <c r="GP191" s="32"/>
      <c r="GQ191" s="32"/>
      <c r="GR191" s="32"/>
      <c r="GS191" s="32"/>
      <c r="GT191" s="32"/>
      <c r="GU191" s="32"/>
      <c r="GV191" s="32"/>
      <c r="GW191" s="32"/>
      <c r="GX191" s="32"/>
      <c r="GY191" s="32"/>
      <c r="GZ191" s="32"/>
      <c r="HA191" s="32"/>
      <c r="HB191" s="32"/>
      <c r="HC191" s="32"/>
      <c r="HD191" s="32"/>
      <c r="HE191" s="32"/>
      <c r="HF191" s="32"/>
      <c r="HG191" s="32"/>
      <c r="HH191" s="32"/>
      <c r="HI191" s="32"/>
      <c r="HJ191" s="32"/>
      <c r="HK191" s="32"/>
      <c r="HL191" s="32"/>
      <c r="HM191" s="32"/>
      <c r="HN191" s="32"/>
      <c r="HO191" s="32"/>
      <c r="HP191" s="32"/>
    </row>
    <row r="192" spans="2:224" x14ac:dyDescent="0.5">
      <c r="B192" s="226"/>
      <c r="C192" s="21"/>
      <c r="D192" s="227"/>
      <c r="E192" s="227"/>
      <c r="F192" s="230"/>
      <c r="G192" s="209"/>
      <c r="H192" s="32"/>
      <c r="I192" s="334"/>
      <c r="J192" s="32"/>
      <c r="L192" s="165"/>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32"/>
      <c r="FT192" s="32"/>
      <c r="FU192" s="32"/>
      <c r="FV192" s="32"/>
      <c r="FW192" s="32"/>
      <c r="FX192" s="32"/>
      <c r="FY192" s="32"/>
      <c r="FZ192" s="32"/>
      <c r="GA192" s="32"/>
      <c r="GB192" s="32"/>
      <c r="GC192" s="32"/>
      <c r="GD192" s="32"/>
      <c r="GE192" s="32"/>
      <c r="GF192" s="32"/>
      <c r="GG192" s="32"/>
      <c r="GH192" s="32"/>
      <c r="GI192" s="32"/>
      <c r="GJ192" s="32"/>
      <c r="GK192" s="32"/>
      <c r="GL192" s="32"/>
      <c r="GM192" s="32"/>
      <c r="GN192" s="32"/>
      <c r="GO192" s="32"/>
      <c r="GP192" s="32"/>
      <c r="GQ192" s="32"/>
      <c r="GR192" s="32"/>
      <c r="GS192" s="32"/>
      <c r="GT192" s="32"/>
      <c r="GU192" s="32"/>
      <c r="GV192" s="32"/>
      <c r="GW192" s="32"/>
      <c r="GX192" s="32"/>
      <c r="GY192" s="32"/>
      <c r="GZ192" s="32"/>
      <c r="HA192" s="32"/>
      <c r="HB192" s="32"/>
      <c r="HC192" s="32"/>
      <c r="HD192" s="32"/>
      <c r="HE192" s="32"/>
      <c r="HF192" s="32"/>
      <c r="HG192" s="32"/>
      <c r="HH192" s="32"/>
      <c r="HI192" s="32"/>
      <c r="HJ192" s="32"/>
      <c r="HK192" s="32"/>
      <c r="HL192" s="32"/>
      <c r="HM192" s="32"/>
      <c r="HN192" s="32"/>
      <c r="HO192" s="32"/>
      <c r="HP192" s="32"/>
    </row>
    <row r="193" spans="2:224" x14ac:dyDescent="0.5">
      <c r="B193" s="226">
        <v>2</v>
      </c>
      <c r="C193" s="21" t="s">
        <v>60</v>
      </c>
      <c r="D193" s="227" t="s">
        <v>15</v>
      </c>
      <c r="E193" s="227">
        <v>3</v>
      </c>
      <c r="F193" s="230">
        <v>0.2</v>
      </c>
      <c r="G193" s="209">
        <f>F193*E193</f>
        <v>0.60000000000000009</v>
      </c>
      <c r="H193" s="32"/>
      <c r="I193" s="334"/>
      <c r="J193" s="32"/>
      <c r="L193" s="165"/>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32"/>
      <c r="FT193" s="32"/>
      <c r="FU193" s="32"/>
      <c r="FV193" s="32"/>
      <c r="FW193" s="32"/>
      <c r="FX193" s="32"/>
      <c r="FY193" s="32"/>
      <c r="FZ193" s="32"/>
      <c r="GA193" s="32"/>
      <c r="GB193" s="32"/>
      <c r="GC193" s="32"/>
      <c r="GD193" s="32"/>
      <c r="GE193" s="32"/>
      <c r="GF193" s="32"/>
      <c r="GG193" s="32"/>
      <c r="GH193" s="32"/>
      <c r="GI193" s="32"/>
      <c r="GJ193" s="32"/>
      <c r="GK193" s="32"/>
      <c r="GL193" s="32"/>
      <c r="GM193" s="32"/>
      <c r="GN193" s="32"/>
      <c r="GO193" s="32"/>
      <c r="GP193" s="32"/>
      <c r="GQ193" s="32"/>
      <c r="GR193" s="32"/>
      <c r="GS193" s="32"/>
      <c r="GT193" s="32"/>
      <c r="GU193" s="32"/>
      <c r="GV193" s="32"/>
      <c r="GW193" s="32"/>
      <c r="GX193" s="32"/>
      <c r="GY193" s="32"/>
      <c r="GZ193" s="32"/>
      <c r="HA193" s="32"/>
      <c r="HB193" s="32"/>
      <c r="HC193" s="32"/>
      <c r="HD193" s="32"/>
      <c r="HE193" s="32"/>
      <c r="HF193" s="32"/>
      <c r="HG193" s="32"/>
      <c r="HH193" s="32"/>
      <c r="HI193" s="32"/>
      <c r="HJ193" s="32"/>
      <c r="HK193" s="32"/>
      <c r="HL193" s="32"/>
      <c r="HM193" s="32"/>
      <c r="HN193" s="32"/>
      <c r="HO193" s="32"/>
      <c r="HP193" s="32"/>
    </row>
    <row r="194" spans="2:224" x14ac:dyDescent="0.5">
      <c r="B194" s="226"/>
      <c r="C194" s="21"/>
      <c r="D194" s="227"/>
      <c r="E194" s="227"/>
      <c r="F194" s="230"/>
      <c r="G194" s="209"/>
      <c r="H194" s="32"/>
      <c r="I194" s="334"/>
      <c r="J194" s="32"/>
      <c r="L194" s="165"/>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32"/>
      <c r="FT194" s="32"/>
      <c r="FU194" s="32"/>
      <c r="FV194" s="32"/>
      <c r="FW194" s="32"/>
      <c r="FX194" s="32"/>
      <c r="FY194" s="32"/>
      <c r="FZ194" s="32"/>
      <c r="GA194" s="32"/>
      <c r="GB194" s="32"/>
      <c r="GC194" s="32"/>
      <c r="GD194" s="32"/>
      <c r="GE194" s="32"/>
      <c r="GF194" s="32"/>
      <c r="GG194" s="32"/>
      <c r="GH194" s="32"/>
      <c r="GI194" s="32"/>
      <c r="GJ194" s="32"/>
      <c r="GK194" s="32"/>
      <c r="GL194" s="32"/>
      <c r="GM194" s="32"/>
      <c r="GN194" s="32"/>
      <c r="GO194" s="32"/>
      <c r="GP194" s="32"/>
      <c r="GQ194" s="32"/>
      <c r="GR194" s="32"/>
      <c r="GS194" s="32"/>
      <c r="GT194" s="32"/>
      <c r="GU194" s="32"/>
      <c r="GV194" s="32"/>
      <c r="GW194" s="32"/>
      <c r="GX194" s="32"/>
      <c r="GY194" s="32"/>
      <c r="GZ194" s="32"/>
      <c r="HA194" s="32"/>
      <c r="HB194" s="32"/>
      <c r="HC194" s="32"/>
      <c r="HD194" s="32"/>
      <c r="HE194" s="32"/>
      <c r="HF194" s="32"/>
      <c r="HG194" s="32"/>
      <c r="HH194" s="32"/>
      <c r="HI194" s="32"/>
      <c r="HJ194" s="32"/>
      <c r="HK194" s="32"/>
      <c r="HL194" s="32"/>
      <c r="HM194" s="32"/>
      <c r="HN194" s="32"/>
      <c r="HO194" s="32"/>
      <c r="HP194" s="32"/>
    </row>
    <row r="195" spans="2:224" x14ac:dyDescent="0.5">
      <c r="B195" s="226">
        <v>3</v>
      </c>
      <c r="C195" s="21" t="s">
        <v>61</v>
      </c>
      <c r="D195" s="227" t="s">
        <v>15</v>
      </c>
      <c r="E195" s="227">
        <v>6</v>
      </c>
      <c r="F195" s="230">
        <v>0.1</v>
      </c>
      <c r="G195" s="209">
        <f>F195*E195</f>
        <v>0.60000000000000009</v>
      </c>
      <c r="H195" s="32"/>
      <c r="I195" s="334"/>
      <c r="J195" s="32"/>
      <c r="L195" s="165"/>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32"/>
      <c r="FT195" s="32"/>
      <c r="FU195" s="32"/>
      <c r="FV195" s="32"/>
      <c r="FW195" s="32"/>
      <c r="FX195" s="32"/>
      <c r="FY195" s="32"/>
      <c r="FZ195" s="32"/>
      <c r="GA195" s="32"/>
      <c r="GB195" s="32"/>
      <c r="GC195" s="32"/>
      <c r="GD195" s="32"/>
      <c r="GE195" s="32"/>
      <c r="GF195" s="32"/>
      <c r="GG195" s="32"/>
      <c r="GH195" s="32"/>
      <c r="GI195" s="32"/>
      <c r="GJ195" s="32"/>
      <c r="GK195" s="32"/>
      <c r="GL195" s="32"/>
      <c r="GM195" s="32"/>
      <c r="GN195" s="32"/>
      <c r="GO195" s="32"/>
      <c r="GP195" s="32"/>
      <c r="GQ195" s="32"/>
      <c r="GR195" s="32"/>
      <c r="GS195" s="32"/>
      <c r="GT195" s="32"/>
      <c r="GU195" s="32"/>
      <c r="GV195" s="32"/>
      <c r="GW195" s="32"/>
      <c r="GX195" s="32"/>
      <c r="GY195" s="32"/>
      <c r="GZ195" s="32"/>
      <c r="HA195" s="32"/>
      <c r="HB195" s="32"/>
      <c r="HC195" s="32"/>
      <c r="HD195" s="32"/>
      <c r="HE195" s="32"/>
      <c r="HF195" s="32"/>
      <c r="HG195" s="32"/>
      <c r="HH195" s="32"/>
      <c r="HI195" s="32"/>
      <c r="HJ195" s="32"/>
      <c r="HK195" s="32"/>
      <c r="HL195" s="32"/>
      <c r="HM195" s="32"/>
      <c r="HN195" s="32"/>
      <c r="HO195" s="32"/>
      <c r="HP195" s="32"/>
    </row>
    <row r="196" spans="2:224" x14ac:dyDescent="0.5">
      <c r="B196" s="226"/>
      <c r="C196" s="21"/>
      <c r="D196" s="227"/>
      <c r="E196" s="227"/>
      <c r="F196" s="230"/>
      <c r="G196" s="209"/>
      <c r="H196" s="32"/>
      <c r="I196" s="334"/>
      <c r="J196" s="32"/>
      <c r="L196" s="165"/>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32"/>
      <c r="FT196" s="32"/>
      <c r="FU196" s="32"/>
      <c r="FV196" s="32"/>
      <c r="FW196" s="32"/>
      <c r="FX196" s="32"/>
      <c r="FY196" s="32"/>
      <c r="FZ196" s="32"/>
      <c r="GA196" s="32"/>
      <c r="GB196" s="32"/>
      <c r="GC196" s="32"/>
      <c r="GD196" s="32"/>
      <c r="GE196" s="32"/>
      <c r="GF196" s="32"/>
      <c r="GG196" s="32"/>
      <c r="GH196" s="32"/>
      <c r="GI196" s="32"/>
      <c r="GJ196" s="32"/>
      <c r="GK196" s="32"/>
      <c r="GL196" s="32"/>
      <c r="GM196" s="32"/>
      <c r="GN196" s="32"/>
      <c r="GO196" s="32"/>
      <c r="GP196" s="32"/>
      <c r="GQ196" s="32"/>
      <c r="GR196" s="32"/>
      <c r="GS196" s="32"/>
      <c r="GT196" s="32"/>
      <c r="GU196" s="32"/>
      <c r="GV196" s="32"/>
      <c r="GW196" s="32"/>
      <c r="GX196" s="32"/>
      <c r="GY196" s="32"/>
      <c r="GZ196" s="32"/>
      <c r="HA196" s="32"/>
      <c r="HB196" s="32"/>
      <c r="HC196" s="32"/>
      <c r="HD196" s="32"/>
      <c r="HE196" s="32"/>
      <c r="HF196" s="32"/>
      <c r="HG196" s="32"/>
      <c r="HH196" s="32"/>
      <c r="HI196" s="32"/>
      <c r="HJ196" s="32"/>
      <c r="HK196" s="32"/>
      <c r="HL196" s="32"/>
      <c r="HM196" s="32"/>
      <c r="HN196" s="32"/>
      <c r="HO196" s="32"/>
      <c r="HP196" s="32"/>
    </row>
    <row r="197" spans="2:224" x14ac:dyDescent="0.5">
      <c r="B197" s="226">
        <v>4</v>
      </c>
      <c r="C197" s="21" t="s">
        <v>62</v>
      </c>
      <c r="D197" s="227" t="s">
        <v>15</v>
      </c>
      <c r="E197" s="227">
        <v>75</v>
      </c>
      <c r="F197" s="230">
        <v>2.1</v>
      </c>
      <c r="G197" s="209">
        <f>F197*E197</f>
        <v>157.5</v>
      </c>
      <c r="H197" s="32"/>
      <c r="I197" s="334"/>
      <c r="J197" s="32"/>
      <c r="L197" s="165"/>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32"/>
      <c r="FT197" s="32"/>
      <c r="FU197" s="32"/>
      <c r="FV197" s="32"/>
      <c r="FW197" s="32"/>
      <c r="FX197" s="32"/>
      <c r="FY197" s="32"/>
      <c r="FZ197" s="32"/>
      <c r="GA197" s="32"/>
      <c r="GB197" s="32"/>
      <c r="GC197" s="32"/>
      <c r="GD197" s="32"/>
      <c r="GE197" s="32"/>
      <c r="GF197" s="32"/>
      <c r="GG197" s="32"/>
      <c r="GH197" s="32"/>
      <c r="GI197" s="32"/>
      <c r="GJ197" s="32"/>
      <c r="GK197" s="32"/>
      <c r="GL197" s="32"/>
      <c r="GM197" s="32"/>
      <c r="GN197" s="32"/>
      <c r="GO197" s="32"/>
      <c r="GP197" s="32"/>
      <c r="GQ197" s="32"/>
      <c r="GR197" s="32"/>
      <c r="GS197" s="32"/>
      <c r="GT197" s="32"/>
      <c r="GU197" s="32"/>
      <c r="GV197" s="32"/>
      <c r="GW197" s="32"/>
      <c r="GX197" s="32"/>
      <c r="GY197" s="32"/>
      <c r="GZ197" s="32"/>
      <c r="HA197" s="32"/>
      <c r="HB197" s="32"/>
      <c r="HC197" s="32"/>
      <c r="HD197" s="32"/>
      <c r="HE197" s="32"/>
      <c r="HF197" s="32"/>
      <c r="HG197" s="32"/>
      <c r="HH197" s="32"/>
      <c r="HI197" s="32"/>
      <c r="HJ197" s="32"/>
      <c r="HK197" s="32"/>
      <c r="HL197" s="32"/>
      <c r="HM197" s="32"/>
      <c r="HN197" s="32"/>
      <c r="HO197" s="32"/>
      <c r="HP197" s="32"/>
    </row>
    <row r="198" spans="2:224" x14ac:dyDescent="0.5">
      <c r="B198" s="226"/>
      <c r="C198" s="21"/>
      <c r="D198" s="227"/>
      <c r="E198" s="227"/>
      <c r="F198" s="230"/>
      <c r="G198" s="209"/>
      <c r="H198" s="32"/>
      <c r="I198" s="334"/>
      <c r="J198" s="32"/>
      <c r="L198" s="165"/>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32"/>
      <c r="FT198" s="32"/>
      <c r="FU198" s="32"/>
      <c r="FV198" s="32"/>
      <c r="FW198" s="32"/>
      <c r="FX198" s="32"/>
      <c r="FY198" s="32"/>
      <c r="FZ198" s="32"/>
      <c r="GA198" s="32"/>
      <c r="GB198" s="32"/>
      <c r="GC198" s="32"/>
      <c r="GD198" s="32"/>
      <c r="GE198" s="32"/>
      <c r="GF198" s="32"/>
      <c r="GG198" s="32"/>
      <c r="GH198" s="32"/>
      <c r="GI198" s="32"/>
      <c r="GJ198" s="32"/>
      <c r="GK198" s="32"/>
      <c r="GL198" s="32"/>
      <c r="GM198" s="32"/>
      <c r="GN198" s="32"/>
      <c r="GO198" s="32"/>
      <c r="GP198" s="32"/>
      <c r="GQ198" s="32"/>
      <c r="GR198" s="32"/>
      <c r="GS198" s="32"/>
      <c r="GT198" s="32"/>
      <c r="GU198" s="32"/>
      <c r="GV198" s="32"/>
      <c r="GW198" s="32"/>
      <c r="GX198" s="32"/>
      <c r="GY198" s="32"/>
      <c r="GZ198" s="32"/>
      <c r="HA198" s="32"/>
      <c r="HB198" s="32"/>
      <c r="HC198" s="32"/>
      <c r="HD198" s="32"/>
      <c r="HE198" s="32"/>
      <c r="HF198" s="32"/>
      <c r="HG198" s="32"/>
      <c r="HH198" s="32"/>
      <c r="HI198" s="32"/>
      <c r="HJ198" s="32"/>
      <c r="HK198" s="32"/>
      <c r="HL198" s="32"/>
      <c r="HM198" s="32"/>
      <c r="HN198" s="32"/>
      <c r="HO198" s="32"/>
      <c r="HP198" s="32"/>
    </row>
    <row r="199" spans="2:224" x14ac:dyDescent="0.5">
      <c r="B199" s="226">
        <v>5</v>
      </c>
      <c r="C199" s="21" t="s">
        <v>250</v>
      </c>
      <c r="D199" s="227" t="s">
        <v>15</v>
      </c>
      <c r="E199" s="227">
        <v>2</v>
      </c>
      <c r="F199" s="230">
        <v>0.15</v>
      </c>
      <c r="G199" s="209">
        <f>F199*E199</f>
        <v>0.3</v>
      </c>
      <c r="H199" s="32"/>
      <c r="I199" s="334"/>
      <c r="J199" s="32"/>
      <c r="L199" s="165"/>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32"/>
      <c r="FT199" s="32"/>
      <c r="FU199" s="32"/>
      <c r="FV199" s="32"/>
      <c r="FW199" s="32"/>
      <c r="FX199" s="32"/>
      <c r="FY199" s="32"/>
      <c r="FZ199" s="32"/>
      <c r="GA199" s="32"/>
      <c r="GB199" s="32"/>
      <c r="GC199" s="32"/>
      <c r="GD199" s="32"/>
      <c r="GE199" s="32"/>
      <c r="GF199" s="32"/>
      <c r="GG199" s="32"/>
      <c r="GH199" s="32"/>
      <c r="GI199" s="32"/>
      <c r="GJ199" s="32"/>
      <c r="GK199" s="32"/>
      <c r="GL199" s="32"/>
      <c r="GM199" s="32"/>
      <c r="GN199" s="32"/>
      <c r="GO199" s="32"/>
      <c r="GP199" s="32"/>
      <c r="GQ199" s="32"/>
      <c r="GR199" s="32"/>
      <c r="GS199" s="32"/>
      <c r="GT199" s="32"/>
      <c r="GU199" s="32"/>
      <c r="GV199" s="32"/>
      <c r="GW199" s="32"/>
      <c r="GX199" s="32"/>
      <c r="GY199" s="32"/>
      <c r="GZ199" s="32"/>
      <c r="HA199" s="32"/>
      <c r="HB199" s="32"/>
      <c r="HC199" s="32"/>
      <c r="HD199" s="32"/>
      <c r="HE199" s="32"/>
      <c r="HF199" s="32"/>
      <c r="HG199" s="32"/>
      <c r="HH199" s="32"/>
      <c r="HI199" s="32"/>
      <c r="HJ199" s="32"/>
      <c r="HK199" s="32"/>
      <c r="HL199" s="32"/>
      <c r="HM199" s="32"/>
      <c r="HN199" s="32"/>
      <c r="HO199" s="32"/>
      <c r="HP199" s="32"/>
    </row>
    <row r="200" spans="2:224" x14ac:dyDescent="0.5">
      <c r="B200" s="226"/>
      <c r="C200" s="21"/>
      <c r="D200" s="227"/>
      <c r="E200" s="227"/>
      <c r="F200" s="230"/>
      <c r="G200" s="209"/>
    </row>
    <row r="201" spans="2:224" x14ac:dyDescent="0.5">
      <c r="B201" s="226">
        <v>6</v>
      </c>
      <c r="C201" s="21" t="s">
        <v>251</v>
      </c>
      <c r="D201" s="227" t="s">
        <v>15</v>
      </c>
      <c r="E201" s="227">
        <v>2</v>
      </c>
      <c r="F201" s="230">
        <v>0.2</v>
      </c>
      <c r="G201" s="209">
        <f>F201*E201</f>
        <v>0.4</v>
      </c>
    </row>
    <row r="202" spans="2:224" x14ac:dyDescent="0.5">
      <c r="B202" s="226"/>
      <c r="C202" s="21"/>
      <c r="D202" s="227"/>
      <c r="E202" s="227"/>
      <c r="F202" s="230"/>
      <c r="G202" s="209"/>
    </row>
    <row r="203" spans="2:224" x14ac:dyDescent="0.5">
      <c r="B203" s="226">
        <v>7</v>
      </c>
      <c r="C203" s="21" t="s">
        <v>252</v>
      </c>
      <c r="D203" s="227" t="s">
        <v>15</v>
      </c>
      <c r="E203" s="227">
        <v>1</v>
      </c>
      <c r="F203" s="230">
        <v>0.15</v>
      </c>
      <c r="G203" s="209">
        <f>F203*E203</f>
        <v>0.15</v>
      </c>
    </row>
    <row r="204" spans="2:224" x14ac:dyDescent="0.5">
      <c r="B204" s="226"/>
      <c r="C204" s="21"/>
      <c r="D204" s="227"/>
      <c r="E204" s="227"/>
      <c r="F204" s="230"/>
      <c r="G204" s="209"/>
    </row>
    <row r="205" spans="2:224" x14ac:dyDescent="0.5">
      <c r="B205" s="226">
        <v>8</v>
      </c>
      <c r="C205" s="21" t="s">
        <v>66</v>
      </c>
      <c r="D205" s="227" t="s">
        <v>67</v>
      </c>
      <c r="E205" s="227">
        <v>6</v>
      </c>
      <c r="F205" s="230">
        <v>5</v>
      </c>
      <c r="G205" s="209">
        <f>F205*E205</f>
        <v>30</v>
      </c>
    </row>
    <row r="206" spans="2:224" x14ac:dyDescent="0.5">
      <c r="B206" s="226"/>
      <c r="C206" s="21"/>
      <c r="D206" s="227"/>
      <c r="E206" s="227"/>
      <c r="F206" s="230"/>
      <c r="G206" s="209"/>
    </row>
    <row r="207" spans="2:224" x14ac:dyDescent="0.5">
      <c r="B207" s="226">
        <v>9</v>
      </c>
      <c r="C207" s="21" t="s">
        <v>68</v>
      </c>
      <c r="D207" s="227" t="s">
        <v>15</v>
      </c>
      <c r="E207" s="227">
        <v>5</v>
      </c>
      <c r="F207" s="230">
        <v>0.15</v>
      </c>
      <c r="G207" s="209">
        <f>F207*E207</f>
        <v>0.75</v>
      </c>
    </row>
    <row r="208" spans="2:224" x14ac:dyDescent="0.5">
      <c r="B208" s="226"/>
      <c r="C208" s="21"/>
      <c r="D208" s="227"/>
      <c r="E208" s="227"/>
      <c r="F208" s="230"/>
      <c r="G208" s="209"/>
    </row>
    <row r="209" spans="2:7" s="31" customFormat="1" x14ac:dyDescent="0.5">
      <c r="B209" s="226">
        <v>10</v>
      </c>
      <c r="C209" s="21" t="s">
        <v>69</v>
      </c>
      <c r="D209" s="227" t="s">
        <v>15</v>
      </c>
      <c r="E209" s="227">
        <v>5</v>
      </c>
      <c r="F209" s="230">
        <v>15</v>
      </c>
      <c r="G209" s="209">
        <f>F209*E209</f>
        <v>75</v>
      </c>
    </row>
    <row r="210" spans="2:7" s="31" customFormat="1" x14ac:dyDescent="0.5">
      <c r="B210" s="226"/>
      <c r="C210" s="21"/>
      <c r="D210" s="227"/>
      <c r="E210" s="227"/>
      <c r="F210" s="230"/>
      <c r="G210" s="209"/>
    </row>
    <row r="211" spans="2:7" s="31" customFormat="1" x14ac:dyDescent="0.5">
      <c r="B211" s="226">
        <v>11</v>
      </c>
      <c r="C211" s="21" t="s">
        <v>70</v>
      </c>
      <c r="D211" s="227" t="s">
        <v>15</v>
      </c>
      <c r="E211" s="227">
        <v>3</v>
      </c>
      <c r="F211" s="230">
        <v>1.5</v>
      </c>
      <c r="G211" s="209">
        <f>F211*E211</f>
        <v>4.5</v>
      </c>
    </row>
    <row r="212" spans="2:7" s="31" customFormat="1" x14ac:dyDescent="0.5">
      <c r="B212" s="226"/>
      <c r="C212" s="21"/>
      <c r="D212" s="227"/>
      <c r="E212" s="227"/>
      <c r="F212" s="230"/>
      <c r="G212" s="209"/>
    </row>
    <row r="213" spans="2:7" s="31" customFormat="1" x14ac:dyDescent="0.5">
      <c r="B213" s="226">
        <v>12</v>
      </c>
      <c r="C213" s="21" t="s">
        <v>71</v>
      </c>
      <c r="D213" s="227" t="s">
        <v>15</v>
      </c>
      <c r="E213" s="227">
        <f>+E209*2</f>
        <v>10</v>
      </c>
      <c r="F213" s="230">
        <v>0.5</v>
      </c>
      <c r="G213" s="209">
        <f>F213*E213</f>
        <v>5</v>
      </c>
    </row>
    <row r="214" spans="2:7" s="31" customFormat="1" x14ac:dyDescent="0.5">
      <c r="B214" s="226"/>
      <c r="C214" s="21"/>
      <c r="D214" s="227"/>
      <c r="E214" s="227"/>
      <c r="F214" s="230"/>
      <c r="G214" s="209"/>
    </row>
    <row r="215" spans="2:7" s="31" customFormat="1" x14ac:dyDescent="0.5">
      <c r="B215" s="226">
        <v>13</v>
      </c>
      <c r="C215" s="21" t="s">
        <v>295</v>
      </c>
      <c r="D215" s="227" t="s">
        <v>15</v>
      </c>
      <c r="E215" s="227">
        <v>22</v>
      </c>
      <c r="F215" s="230">
        <v>2</v>
      </c>
      <c r="G215" s="209">
        <f>F215*E215</f>
        <v>44</v>
      </c>
    </row>
    <row r="216" spans="2:7" s="31" customFormat="1" x14ac:dyDescent="0.5">
      <c r="B216" s="226"/>
      <c r="C216" s="21"/>
      <c r="D216" s="227"/>
      <c r="E216" s="227"/>
      <c r="F216" s="230"/>
      <c r="G216" s="209"/>
    </row>
    <row r="217" spans="2:7" s="31" customFormat="1" x14ac:dyDescent="0.5">
      <c r="B217" s="226">
        <v>14</v>
      </c>
      <c r="C217" s="21" t="s">
        <v>296</v>
      </c>
      <c r="D217" s="227" t="s">
        <v>15</v>
      </c>
      <c r="E217" s="227">
        <v>18</v>
      </c>
      <c r="F217" s="230">
        <v>1.5</v>
      </c>
      <c r="G217" s="209">
        <f>F217*E217</f>
        <v>27</v>
      </c>
    </row>
    <row r="218" spans="2:7" s="31" customFormat="1" x14ac:dyDescent="0.5">
      <c r="B218" s="226"/>
      <c r="C218" s="21"/>
      <c r="D218" s="227"/>
      <c r="E218" s="227"/>
      <c r="F218" s="230"/>
      <c r="G218" s="209"/>
    </row>
    <row r="219" spans="2:7" s="31" customFormat="1" x14ac:dyDescent="0.5">
      <c r="B219" s="226">
        <v>15</v>
      </c>
      <c r="C219" s="21" t="s">
        <v>74</v>
      </c>
      <c r="D219" s="227" t="s">
        <v>15</v>
      </c>
      <c r="E219" s="227">
        <v>60</v>
      </c>
      <c r="F219" s="230">
        <v>0.9</v>
      </c>
      <c r="G219" s="209">
        <f>F219*E219</f>
        <v>54</v>
      </c>
    </row>
    <row r="220" spans="2:7" s="31" customFormat="1" x14ac:dyDescent="0.5">
      <c r="B220" s="226"/>
      <c r="C220" s="21"/>
      <c r="D220" s="227"/>
      <c r="E220" s="227"/>
      <c r="F220" s="230"/>
      <c r="G220" s="209"/>
    </row>
    <row r="221" spans="2:7" s="31" customFormat="1" x14ac:dyDescent="0.5">
      <c r="B221" s="226">
        <v>16</v>
      </c>
      <c r="C221" s="21" t="s">
        <v>75</v>
      </c>
      <c r="D221" s="227" t="s">
        <v>15</v>
      </c>
      <c r="E221" s="227">
        <v>1</v>
      </c>
      <c r="F221" s="230">
        <v>10</v>
      </c>
      <c r="G221" s="209">
        <f>F221*E221</f>
        <v>10</v>
      </c>
    </row>
    <row r="222" spans="2:7" s="31" customFormat="1" x14ac:dyDescent="0.5">
      <c r="B222" s="226"/>
      <c r="C222" s="21"/>
      <c r="D222" s="227"/>
      <c r="E222" s="227"/>
      <c r="F222" s="230"/>
      <c r="G222" s="209"/>
    </row>
    <row r="223" spans="2:7" s="31" customFormat="1" x14ac:dyDescent="0.5">
      <c r="B223" s="226">
        <v>17</v>
      </c>
      <c r="C223" s="21" t="s">
        <v>302</v>
      </c>
      <c r="D223" s="227" t="s">
        <v>39</v>
      </c>
      <c r="E223" s="227">
        <v>1</v>
      </c>
      <c r="F223" s="230">
        <v>8</v>
      </c>
      <c r="G223" s="209">
        <f>F223*E223</f>
        <v>8</v>
      </c>
    </row>
    <row r="224" spans="2:7" s="31" customFormat="1" x14ac:dyDescent="0.5">
      <c r="B224" s="226"/>
      <c r="C224" s="21"/>
      <c r="D224" s="227"/>
      <c r="E224" s="227"/>
      <c r="F224" s="230"/>
      <c r="G224" s="209"/>
    </row>
    <row r="225" spans="2:7" s="31" customFormat="1" x14ac:dyDescent="0.5">
      <c r="B225" s="226">
        <v>18</v>
      </c>
      <c r="C225" s="20" t="s">
        <v>253</v>
      </c>
      <c r="D225" s="227" t="s">
        <v>15</v>
      </c>
      <c r="E225" s="245">
        <v>3</v>
      </c>
      <c r="F225" s="230">
        <v>1.5</v>
      </c>
      <c r="G225" s="209">
        <f t="shared" ref="G225:G235" si="4">F225*E225</f>
        <v>4.5</v>
      </c>
    </row>
    <row r="226" spans="2:7" s="31" customFormat="1" x14ac:dyDescent="0.5">
      <c r="B226" s="226"/>
      <c r="C226" s="20"/>
      <c r="D226" s="227"/>
      <c r="E226" s="245"/>
      <c r="F226" s="230"/>
      <c r="G226" s="209"/>
    </row>
    <row r="227" spans="2:7" s="31" customFormat="1" x14ac:dyDescent="0.5">
      <c r="B227" s="226">
        <v>19</v>
      </c>
      <c r="C227" s="20" t="s">
        <v>254</v>
      </c>
      <c r="D227" s="227" t="s">
        <v>15</v>
      </c>
      <c r="E227" s="245">
        <v>8</v>
      </c>
      <c r="F227" s="230">
        <v>1.5</v>
      </c>
      <c r="G227" s="209">
        <f t="shared" si="4"/>
        <v>12</v>
      </c>
    </row>
    <row r="228" spans="2:7" s="31" customFormat="1" x14ac:dyDescent="0.5">
      <c r="B228" s="226"/>
      <c r="C228" s="20"/>
      <c r="D228" s="227"/>
      <c r="E228" s="245"/>
      <c r="F228" s="230"/>
      <c r="G228" s="209"/>
    </row>
    <row r="229" spans="2:7" s="31" customFormat="1" x14ac:dyDescent="0.5">
      <c r="B229" s="226">
        <v>20</v>
      </c>
      <c r="C229" s="20" t="s">
        <v>255</v>
      </c>
      <c r="D229" s="227" t="s">
        <v>15</v>
      </c>
      <c r="E229" s="245">
        <v>8</v>
      </c>
      <c r="F229" s="230">
        <f>3*1.3</f>
        <v>3.9000000000000004</v>
      </c>
      <c r="G229" s="209">
        <f t="shared" si="4"/>
        <v>31.200000000000003</v>
      </c>
    </row>
    <row r="230" spans="2:7" s="31" customFormat="1" x14ac:dyDescent="0.5">
      <c r="B230" s="226"/>
      <c r="C230" s="20"/>
      <c r="D230" s="227"/>
      <c r="E230" s="245"/>
      <c r="F230" s="230"/>
      <c r="G230" s="209"/>
    </row>
    <row r="231" spans="2:7" s="31" customFormat="1" x14ac:dyDescent="0.5">
      <c r="B231" s="226">
        <v>21</v>
      </c>
      <c r="C231" s="220" t="s">
        <v>256</v>
      </c>
      <c r="D231" s="246" t="s">
        <v>15</v>
      </c>
      <c r="E231" s="247">
        <v>4</v>
      </c>
      <c r="F231" s="248">
        <v>1</v>
      </c>
      <c r="G231" s="223">
        <f t="shared" si="4"/>
        <v>4</v>
      </c>
    </row>
    <row r="232" spans="2:7" s="31" customFormat="1" x14ac:dyDescent="0.5">
      <c r="B232" s="226"/>
      <c r="C232" s="220"/>
      <c r="D232" s="246"/>
      <c r="E232" s="247"/>
      <c r="F232" s="248"/>
      <c r="G232" s="223"/>
    </row>
    <row r="233" spans="2:7" s="31" customFormat="1" x14ac:dyDescent="0.5">
      <c r="B233" s="226">
        <v>22</v>
      </c>
      <c r="C233" s="220" t="s">
        <v>304</v>
      </c>
      <c r="D233" s="246" t="s">
        <v>15</v>
      </c>
      <c r="E233" s="247">
        <v>1</v>
      </c>
      <c r="F233" s="248">
        <v>5</v>
      </c>
      <c r="G233" s="223">
        <f t="shared" si="4"/>
        <v>5</v>
      </c>
    </row>
    <row r="234" spans="2:7" s="31" customFormat="1" x14ac:dyDescent="0.5">
      <c r="B234" s="226"/>
      <c r="C234" s="220"/>
      <c r="D234" s="246"/>
      <c r="E234" s="247"/>
      <c r="F234" s="248"/>
      <c r="G234" s="223"/>
    </row>
    <row r="235" spans="2:7" s="31" customFormat="1" x14ac:dyDescent="0.5">
      <c r="B235" s="226">
        <v>23</v>
      </c>
      <c r="C235" s="220" t="s">
        <v>305</v>
      </c>
      <c r="D235" s="246" t="s">
        <v>15</v>
      </c>
      <c r="E235" s="247">
        <v>1</v>
      </c>
      <c r="F235" s="248">
        <v>6</v>
      </c>
      <c r="G235" s="223">
        <f t="shared" si="4"/>
        <v>6</v>
      </c>
    </row>
    <row r="236" spans="2:7" s="31" customFormat="1" x14ac:dyDescent="0.5">
      <c r="B236" s="226"/>
      <c r="C236" s="220"/>
      <c r="D236" s="246"/>
      <c r="E236" s="247"/>
      <c r="F236" s="248"/>
      <c r="G236" s="223"/>
    </row>
    <row r="237" spans="2:7" s="31" customFormat="1" x14ac:dyDescent="0.5">
      <c r="B237" s="226">
        <v>24</v>
      </c>
      <c r="C237" s="220" t="s">
        <v>303</v>
      </c>
      <c r="D237" s="246" t="s">
        <v>15</v>
      </c>
      <c r="E237" s="247">
        <v>1</v>
      </c>
      <c r="F237" s="248">
        <v>10</v>
      </c>
      <c r="G237" s="223">
        <f>E237*F237</f>
        <v>10</v>
      </c>
    </row>
    <row r="238" spans="2:7" s="31" customFormat="1" x14ac:dyDescent="0.5">
      <c r="B238" s="226"/>
      <c r="C238" s="220"/>
      <c r="D238" s="246"/>
      <c r="E238" s="247"/>
      <c r="F238" s="248"/>
      <c r="G238" s="223"/>
    </row>
    <row r="239" spans="2:7" s="31" customFormat="1" x14ac:dyDescent="0.5">
      <c r="B239" s="226">
        <v>25</v>
      </c>
      <c r="C239" s="220" t="s">
        <v>76</v>
      </c>
      <c r="D239" s="249" t="s">
        <v>15</v>
      </c>
      <c r="E239" s="249"/>
      <c r="F239" s="250"/>
      <c r="G239" s="210">
        <v>50</v>
      </c>
    </row>
    <row r="240" spans="2:7" s="31" customFormat="1" x14ac:dyDescent="0.5">
      <c r="B240" s="231"/>
      <c r="C240" s="221"/>
      <c r="D240" s="249"/>
      <c r="E240" s="249"/>
      <c r="F240" s="250"/>
      <c r="G240" s="210"/>
    </row>
    <row r="241" spans="2:224" x14ac:dyDescent="0.5">
      <c r="B241" s="231">
        <v>26</v>
      </c>
      <c r="C241" s="222" t="s">
        <v>301</v>
      </c>
      <c r="D241" s="251" t="s">
        <v>15</v>
      </c>
      <c r="E241" s="251">
        <v>20</v>
      </c>
      <c r="F241" s="252">
        <v>0.5</v>
      </c>
      <c r="G241" s="210">
        <f>E241*F241</f>
        <v>10</v>
      </c>
    </row>
    <row r="242" spans="2:224" ht="17.25" x14ac:dyDescent="0.45">
      <c r="B242" s="346" t="s">
        <v>77</v>
      </c>
      <c r="C242" s="347"/>
      <c r="D242" s="347"/>
      <c r="E242" s="347"/>
      <c r="F242" s="361"/>
      <c r="G242" s="305">
        <f>SUM(G185:G239)</f>
        <v>612.5</v>
      </c>
    </row>
    <row r="243" spans="2:224" ht="17.25" x14ac:dyDescent="0.45">
      <c r="B243" s="147"/>
      <c r="C243" s="161"/>
      <c r="D243" s="162"/>
      <c r="E243" s="163"/>
      <c r="F243" s="164"/>
      <c r="G243" s="211"/>
    </row>
    <row r="244" spans="2:224" ht="24.75" x14ac:dyDescent="0.65">
      <c r="B244" s="362" t="s">
        <v>78</v>
      </c>
      <c r="C244" s="363"/>
      <c r="E244" s="165"/>
      <c r="F244" s="166"/>
      <c r="G244" s="210"/>
    </row>
    <row r="245" spans="2:224" x14ac:dyDescent="0.5">
      <c r="B245" s="349" t="s">
        <v>81</v>
      </c>
      <c r="C245" s="350"/>
      <c r="E245" s="165"/>
      <c r="G245" s="210"/>
    </row>
    <row r="246" spans="2:224" ht="17.25" x14ac:dyDescent="0.45">
      <c r="B246" s="285" t="s">
        <v>8</v>
      </c>
      <c r="C246" s="286" t="s">
        <v>240</v>
      </c>
      <c r="D246" s="287" t="s">
        <v>9</v>
      </c>
      <c r="E246" s="288" t="s">
        <v>10</v>
      </c>
      <c r="F246" s="289" t="s">
        <v>11</v>
      </c>
      <c r="G246" s="290" t="s">
        <v>12</v>
      </c>
    </row>
    <row r="247" spans="2:224" ht="15.4" x14ac:dyDescent="0.45">
      <c r="B247" s="167"/>
      <c r="C247" s="86" t="s">
        <v>278</v>
      </c>
      <c r="D247" s="22"/>
      <c r="E247" s="87"/>
      <c r="F247" s="44"/>
      <c r="G247" s="197"/>
    </row>
    <row r="248" spans="2:224" ht="105.75" x14ac:dyDescent="0.5">
      <c r="B248" s="226">
        <v>1</v>
      </c>
      <c r="C248" s="89" t="s">
        <v>279</v>
      </c>
      <c r="D248" s="227" t="s">
        <v>190</v>
      </c>
      <c r="E248" s="229">
        <f>+'Take Off'!D4+'Take Off'!A4</f>
        <v>243.4</v>
      </c>
      <c r="F248" s="230">
        <v>0.2</v>
      </c>
      <c r="G248" s="194">
        <f>E248*F248</f>
        <v>48.680000000000007</v>
      </c>
    </row>
    <row r="249" spans="2:224" x14ac:dyDescent="0.45">
      <c r="B249" s="284"/>
      <c r="C249" s="37"/>
      <c r="D249" s="254"/>
      <c r="E249" s="254"/>
      <c r="F249" s="255"/>
      <c r="G249" s="193"/>
    </row>
    <row r="250" spans="2:224" x14ac:dyDescent="0.5">
      <c r="B250" s="237"/>
      <c r="C250" s="88" t="s">
        <v>188</v>
      </c>
      <c r="D250" s="227"/>
      <c r="E250" s="256"/>
      <c r="F250" s="230"/>
      <c r="G250" s="194"/>
    </row>
    <row r="251" spans="2:224" ht="52.9" x14ac:dyDescent="0.5">
      <c r="B251" s="226">
        <v>2</v>
      </c>
      <c r="C251" s="26" t="s">
        <v>226</v>
      </c>
      <c r="D251" s="227" t="s">
        <v>190</v>
      </c>
      <c r="E251" s="229">
        <f>+'Take Off'!D4</f>
        <v>172</v>
      </c>
      <c r="F251" s="230">
        <v>0.7</v>
      </c>
      <c r="G251" s="194">
        <f t="shared" ref="G251:G257" si="5">E251*F251</f>
        <v>120.39999999999999</v>
      </c>
      <c r="H251" s="32"/>
      <c r="I251" s="334"/>
      <c r="J251" s="32"/>
      <c r="L251" s="165"/>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32"/>
      <c r="FT251" s="32"/>
      <c r="FU251" s="32"/>
      <c r="FV251" s="32"/>
      <c r="FW251" s="32"/>
      <c r="FX251" s="32"/>
      <c r="FY251" s="32"/>
      <c r="FZ251" s="32"/>
      <c r="GA251" s="32"/>
      <c r="GB251" s="32"/>
      <c r="GC251" s="32"/>
      <c r="GD251" s="32"/>
      <c r="GE251" s="32"/>
      <c r="GF251" s="32"/>
      <c r="GG251" s="32"/>
      <c r="GH251" s="32"/>
      <c r="GI251" s="32"/>
      <c r="GJ251" s="32"/>
      <c r="GK251" s="32"/>
      <c r="GL251" s="32"/>
      <c r="GM251" s="32"/>
      <c r="GN251" s="32"/>
      <c r="GO251" s="32"/>
      <c r="GP251" s="32"/>
      <c r="GQ251" s="32"/>
      <c r="GR251" s="32"/>
      <c r="GS251" s="32"/>
      <c r="GT251" s="32"/>
      <c r="GU251" s="32"/>
      <c r="GV251" s="32"/>
      <c r="GW251" s="32"/>
      <c r="GX251" s="32"/>
      <c r="GY251" s="32"/>
      <c r="GZ251" s="32"/>
      <c r="HA251" s="32"/>
      <c r="HB251" s="32"/>
      <c r="HC251" s="32"/>
      <c r="HD251" s="32"/>
      <c r="HE251" s="32"/>
      <c r="HF251" s="32"/>
      <c r="HG251" s="32"/>
      <c r="HH251" s="32"/>
      <c r="HI251" s="32"/>
      <c r="HJ251" s="32"/>
      <c r="HK251" s="32"/>
      <c r="HL251" s="32"/>
      <c r="HM251" s="32"/>
      <c r="HN251" s="32"/>
      <c r="HO251" s="32"/>
      <c r="HP251" s="32"/>
    </row>
    <row r="252" spans="2:224" x14ac:dyDescent="0.5">
      <c r="B252" s="237"/>
      <c r="C252" s="25"/>
      <c r="D252" s="227"/>
      <c r="E252" s="256"/>
      <c r="F252" s="230"/>
      <c r="G252" s="194"/>
      <c r="H252" s="32"/>
      <c r="I252" s="334"/>
      <c r="J252" s="32"/>
      <c r="L252" s="165"/>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32"/>
      <c r="FT252" s="32"/>
      <c r="FU252" s="32"/>
      <c r="FV252" s="32"/>
      <c r="FW252" s="32"/>
      <c r="FX252" s="32"/>
      <c r="FY252" s="32"/>
      <c r="FZ252" s="32"/>
      <c r="GA252" s="32"/>
      <c r="GB252" s="32"/>
      <c r="GC252" s="32"/>
      <c r="GD252" s="32"/>
      <c r="GE252" s="32"/>
      <c r="GF252" s="32"/>
      <c r="GG252" s="32"/>
      <c r="GH252" s="32"/>
      <c r="GI252" s="32"/>
      <c r="GJ252" s="32"/>
      <c r="GK252" s="32"/>
      <c r="GL252" s="32"/>
      <c r="GM252" s="32"/>
      <c r="GN252" s="32"/>
      <c r="GO252" s="32"/>
      <c r="GP252" s="32"/>
      <c r="GQ252" s="32"/>
      <c r="GR252" s="32"/>
      <c r="GS252" s="32"/>
      <c r="GT252" s="32"/>
      <c r="GU252" s="32"/>
      <c r="GV252" s="32"/>
      <c r="GW252" s="32"/>
      <c r="GX252" s="32"/>
      <c r="GY252" s="32"/>
      <c r="GZ252" s="32"/>
      <c r="HA252" s="32"/>
      <c r="HB252" s="32"/>
      <c r="HC252" s="32"/>
      <c r="HD252" s="32"/>
      <c r="HE252" s="32"/>
      <c r="HF252" s="32"/>
      <c r="HG252" s="32"/>
      <c r="HH252" s="32"/>
      <c r="HI252" s="32"/>
      <c r="HJ252" s="32"/>
      <c r="HK252" s="32"/>
      <c r="HL252" s="32"/>
      <c r="HM252" s="32"/>
      <c r="HN252" s="32"/>
      <c r="HO252" s="32"/>
      <c r="HP252" s="32"/>
    </row>
    <row r="253" spans="2:224" x14ac:dyDescent="0.5">
      <c r="B253" s="237"/>
      <c r="C253" s="88" t="s">
        <v>189</v>
      </c>
      <c r="D253" s="227"/>
      <c r="E253" s="256"/>
      <c r="F253" s="230"/>
      <c r="G253" s="194"/>
    </row>
    <row r="254" spans="2:224" ht="88.15" x14ac:dyDescent="0.5">
      <c r="B254" s="226">
        <v>3</v>
      </c>
      <c r="C254" s="89" t="s">
        <v>225</v>
      </c>
      <c r="D254" s="227" t="s">
        <v>191</v>
      </c>
      <c r="E254" s="229">
        <f>+'Take Off'!J6</f>
        <v>126.85000000000001</v>
      </c>
      <c r="F254" s="230">
        <v>4.5</v>
      </c>
      <c r="G254" s="194">
        <f>E254*F254</f>
        <v>570.82500000000005</v>
      </c>
    </row>
    <row r="255" spans="2:224" x14ac:dyDescent="0.5">
      <c r="B255" s="237"/>
      <c r="C255" s="25"/>
      <c r="D255" s="227"/>
      <c r="E255" s="256"/>
      <c r="F255" s="230"/>
      <c r="G255" s="194"/>
    </row>
    <row r="256" spans="2:224" x14ac:dyDescent="0.5">
      <c r="B256" s="237"/>
      <c r="C256" s="88" t="s">
        <v>265</v>
      </c>
      <c r="D256" s="227"/>
      <c r="E256" s="256"/>
      <c r="F256" s="230"/>
      <c r="G256" s="194"/>
    </row>
    <row r="257" spans="2:7" s="31" customFormat="1" ht="52.9" x14ac:dyDescent="0.5">
      <c r="B257" s="226">
        <v>4</v>
      </c>
      <c r="C257" s="26" t="s">
        <v>266</v>
      </c>
      <c r="D257" s="227" t="s">
        <v>51</v>
      </c>
      <c r="E257" s="229">
        <f>'Take Off'!K6</f>
        <v>20.42285</v>
      </c>
      <c r="F257" s="230">
        <v>20</v>
      </c>
      <c r="G257" s="194">
        <f t="shared" si="5"/>
        <v>408.45699999999999</v>
      </c>
    </row>
    <row r="258" spans="2:7" s="31" customFormat="1" x14ac:dyDescent="0.5">
      <c r="B258" s="237"/>
      <c r="C258" s="25"/>
      <c r="D258" s="227"/>
      <c r="E258" s="256"/>
      <c r="F258" s="230"/>
      <c r="G258" s="194"/>
    </row>
    <row r="259" spans="2:7" s="31" customFormat="1" x14ac:dyDescent="0.5">
      <c r="B259" s="237"/>
      <c r="C259" s="88" t="s">
        <v>82</v>
      </c>
      <c r="D259" s="227"/>
      <c r="E259" s="256"/>
      <c r="F259" s="230"/>
      <c r="G259" s="194"/>
    </row>
    <row r="260" spans="2:7" s="31" customFormat="1" ht="70.5" x14ac:dyDescent="0.5">
      <c r="B260" s="226">
        <v>5</v>
      </c>
      <c r="C260" s="41" t="s">
        <v>244</v>
      </c>
      <c r="D260" s="227" t="s">
        <v>190</v>
      </c>
      <c r="E260" s="229">
        <f>'Take Off'!L6</f>
        <v>269.36141304347825</v>
      </c>
      <c r="F260" s="230">
        <v>4.5</v>
      </c>
      <c r="G260" s="194">
        <f t="shared" ref="G260:G266" si="6">F260*E260</f>
        <v>1212.126358695652</v>
      </c>
    </row>
    <row r="261" spans="2:7" s="31" customFormat="1" x14ac:dyDescent="0.5">
      <c r="B261" s="237"/>
      <c r="C261" s="25"/>
      <c r="D261" s="227"/>
      <c r="E261" s="256"/>
      <c r="F261" s="230"/>
      <c r="G261" s="194"/>
    </row>
    <row r="262" spans="2:7" s="31" customFormat="1" x14ac:dyDescent="0.5">
      <c r="B262" s="237"/>
      <c r="C262" s="88" t="s">
        <v>83</v>
      </c>
      <c r="D262" s="227"/>
      <c r="E262" s="256"/>
      <c r="F262" s="230"/>
      <c r="G262" s="194"/>
    </row>
    <row r="263" spans="2:7" s="31" customFormat="1" ht="70.5" x14ac:dyDescent="0.5">
      <c r="B263" s="226">
        <v>6</v>
      </c>
      <c r="C263" s="26" t="s">
        <v>245</v>
      </c>
      <c r="D263" s="227" t="s">
        <v>51</v>
      </c>
      <c r="E263" s="229">
        <f>'Take Off'!M6</f>
        <v>63.425000000000004</v>
      </c>
      <c r="F263" s="230">
        <v>4</v>
      </c>
      <c r="G263" s="194">
        <f t="shared" si="6"/>
        <v>253.70000000000002</v>
      </c>
    </row>
    <row r="264" spans="2:7" s="31" customFormat="1" x14ac:dyDescent="0.5">
      <c r="B264" s="237"/>
      <c r="C264" s="21"/>
      <c r="D264" s="227"/>
      <c r="E264" s="256"/>
      <c r="F264" s="230"/>
      <c r="G264" s="194"/>
    </row>
    <row r="265" spans="2:7" s="31" customFormat="1" x14ac:dyDescent="0.5">
      <c r="B265" s="237"/>
      <c r="C265" s="37" t="s">
        <v>243</v>
      </c>
      <c r="D265" s="227"/>
      <c r="E265" s="256"/>
      <c r="F265" s="230"/>
      <c r="G265" s="194"/>
    </row>
    <row r="266" spans="2:7" s="31" customFormat="1" ht="36" customHeight="1" x14ac:dyDescent="0.5">
      <c r="B266" s="226">
        <v>7</v>
      </c>
      <c r="C266" s="26" t="s">
        <v>267</v>
      </c>
      <c r="D266" s="227" t="s">
        <v>51</v>
      </c>
      <c r="E266" s="229">
        <f>'Take Off'!N6</f>
        <v>17.2</v>
      </c>
      <c r="F266" s="230">
        <v>20</v>
      </c>
      <c r="G266" s="194">
        <f t="shared" si="6"/>
        <v>344</v>
      </c>
    </row>
    <row r="267" spans="2:7" s="31" customFormat="1" x14ac:dyDescent="0.5">
      <c r="B267" s="257"/>
      <c r="C267" s="90"/>
      <c r="D267" s="241"/>
      <c r="E267" s="258"/>
      <c r="F267" s="259"/>
      <c r="G267" s="212"/>
    </row>
    <row r="268" spans="2:7" s="31" customFormat="1" ht="17.25" x14ac:dyDescent="0.45">
      <c r="B268" s="346" t="s">
        <v>77</v>
      </c>
      <c r="C268" s="347"/>
      <c r="D268" s="347"/>
      <c r="E268" s="347"/>
      <c r="F268" s="361"/>
      <c r="G268" s="306">
        <f>SUM(G250:G266)</f>
        <v>2909.5083586956516</v>
      </c>
    </row>
    <row r="269" spans="2:7" s="31" customFormat="1" ht="17.25" x14ac:dyDescent="0.45">
      <c r="B269" s="140"/>
      <c r="C269" s="168"/>
      <c r="D269" s="28"/>
      <c r="E269" s="165"/>
      <c r="F269" s="64"/>
      <c r="G269" s="195"/>
    </row>
    <row r="270" spans="2:7" s="31" customFormat="1" x14ac:dyDescent="0.5">
      <c r="B270" s="364" t="s">
        <v>85</v>
      </c>
      <c r="C270" s="365"/>
      <c r="D270" s="28"/>
      <c r="E270" s="165"/>
      <c r="F270" s="64"/>
      <c r="G270" s="210"/>
    </row>
    <row r="271" spans="2:7" s="31" customFormat="1" x14ac:dyDescent="0.5">
      <c r="B271" s="366" t="s">
        <v>86</v>
      </c>
      <c r="C271" s="367"/>
      <c r="D271" s="28"/>
      <c r="E271" s="165"/>
      <c r="F271" s="64"/>
      <c r="G271" s="210"/>
    </row>
    <row r="272" spans="2:7" s="31" customFormat="1" ht="17.25" x14ac:dyDescent="0.45">
      <c r="B272" s="291" t="s">
        <v>8</v>
      </c>
      <c r="C272" s="286" t="s">
        <v>240</v>
      </c>
      <c r="D272" s="287" t="s">
        <v>9</v>
      </c>
      <c r="E272" s="288" t="s">
        <v>10</v>
      </c>
      <c r="F272" s="289" t="s">
        <v>11</v>
      </c>
      <c r="G272" s="290" t="s">
        <v>12</v>
      </c>
    </row>
    <row r="273" spans="2:7" s="31" customFormat="1" x14ac:dyDescent="0.5">
      <c r="B273" s="157"/>
      <c r="C273" s="37" t="s">
        <v>87</v>
      </c>
      <c r="D273" s="46"/>
      <c r="E273" s="87"/>
      <c r="F273" s="44"/>
      <c r="G273" s="194"/>
    </row>
    <row r="274" spans="2:7" s="31" customFormat="1" ht="70.5" x14ac:dyDescent="0.5">
      <c r="B274" s="226">
        <v>1</v>
      </c>
      <c r="C274" s="26" t="s">
        <v>246</v>
      </c>
      <c r="D274" s="227" t="s">
        <v>190</v>
      </c>
      <c r="E274" s="229">
        <f>'Take Off'!H12-80</f>
        <v>350.97826086956525</v>
      </c>
      <c r="F274" s="230">
        <v>4.5</v>
      </c>
      <c r="G274" s="194">
        <f>F274*E274</f>
        <v>1579.4021739130435</v>
      </c>
    </row>
    <row r="275" spans="2:7" s="31" customFormat="1" x14ac:dyDescent="0.5">
      <c r="B275" s="226"/>
      <c r="C275" s="26"/>
      <c r="D275" s="227"/>
      <c r="E275" s="229"/>
      <c r="F275" s="230"/>
      <c r="G275" s="194"/>
    </row>
    <row r="276" spans="2:7" s="31" customFormat="1" x14ac:dyDescent="0.5">
      <c r="B276" s="226"/>
      <c r="C276" s="88" t="s">
        <v>314</v>
      </c>
      <c r="D276" s="227"/>
      <c r="E276" s="227"/>
      <c r="F276" s="230"/>
      <c r="G276" s="194"/>
    </row>
    <row r="277" spans="2:7" s="31" customFormat="1" ht="70.5" x14ac:dyDescent="0.5">
      <c r="B277" s="253">
        <v>2</v>
      </c>
      <c r="C277" s="26" t="s">
        <v>269</v>
      </c>
      <c r="D277" s="227" t="s">
        <v>15</v>
      </c>
      <c r="E277" s="227">
        <f>+'Take Off'!D54+'Take Off'!C54</f>
        <v>9</v>
      </c>
      <c r="F277" s="230">
        <v>5.5</v>
      </c>
      <c r="G277" s="194">
        <f>F277*E277</f>
        <v>49.5</v>
      </c>
    </row>
    <row r="278" spans="2:7" s="31" customFormat="1" x14ac:dyDescent="0.5">
      <c r="B278" s="260"/>
      <c r="C278" s="93"/>
      <c r="D278" s="241"/>
      <c r="E278" s="241"/>
      <c r="F278" s="259"/>
      <c r="G278" s="212"/>
    </row>
    <row r="279" spans="2:7" s="31" customFormat="1" ht="17.25" x14ac:dyDescent="0.45">
      <c r="B279" s="346" t="s">
        <v>77</v>
      </c>
      <c r="C279" s="347"/>
      <c r="D279" s="347"/>
      <c r="E279" s="347"/>
      <c r="F279" s="348"/>
      <c r="G279" s="306">
        <f>SUM(G274:G277)</f>
        <v>1628.9021739130435</v>
      </c>
    </row>
    <row r="280" spans="2:7" s="31" customFormat="1" x14ac:dyDescent="0.5">
      <c r="B280" s="131"/>
      <c r="C280" s="30"/>
      <c r="D280" s="28"/>
      <c r="E280" s="165"/>
      <c r="F280" s="64"/>
      <c r="G280" s="210"/>
    </row>
    <row r="281" spans="2:7" s="31" customFormat="1" x14ac:dyDescent="0.5">
      <c r="B281" s="349" t="s">
        <v>88</v>
      </c>
      <c r="C281" s="350"/>
      <c r="D281" s="28"/>
      <c r="E281" s="165"/>
      <c r="F281" s="64"/>
      <c r="G281" s="210"/>
    </row>
    <row r="282" spans="2:7" s="31" customFormat="1" ht="17.25" x14ac:dyDescent="0.45">
      <c r="B282" s="291" t="s">
        <v>8</v>
      </c>
      <c r="C282" s="286" t="s">
        <v>240</v>
      </c>
      <c r="D282" s="287" t="s">
        <v>9</v>
      </c>
      <c r="E282" s="288" t="s">
        <v>10</v>
      </c>
      <c r="F282" s="289" t="s">
        <v>11</v>
      </c>
      <c r="G282" s="290" t="s">
        <v>12</v>
      </c>
    </row>
    <row r="283" spans="2:7" s="31" customFormat="1" x14ac:dyDescent="0.5">
      <c r="B283" s="169"/>
      <c r="C283" s="94" t="s">
        <v>87</v>
      </c>
      <c r="D283" s="75"/>
      <c r="E283" s="95"/>
      <c r="F283" s="96"/>
      <c r="G283" s="200"/>
    </row>
    <row r="284" spans="2:7" s="31" customFormat="1" ht="70.5" x14ac:dyDescent="0.5">
      <c r="B284" s="226">
        <v>1</v>
      </c>
      <c r="C284" s="26" t="s">
        <v>247</v>
      </c>
      <c r="D284" s="227" t="s">
        <v>190</v>
      </c>
      <c r="E284" s="229">
        <f>'Take Off'!I12-50</f>
        <v>88.636775362318843</v>
      </c>
      <c r="F284" s="230">
        <v>4.5</v>
      </c>
      <c r="G284" s="194">
        <f>F284*E284</f>
        <v>398.86548913043481</v>
      </c>
    </row>
    <row r="285" spans="2:7" s="31" customFormat="1" x14ac:dyDescent="0.5">
      <c r="B285" s="237"/>
      <c r="C285" s="26"/>
      <c r="D285" s="227"/>
      <c r="E285" s="227"/>
      <c r="F285" s="230"/>
      <c r="G285" s="194"/>
    </row>
    <row r="286" spans="2:7" s="31" customFormat="1" x14ac:dyDescent="0.5">
      <c r="B286" s="237"/>
      <c r="C286" s="88" t="s">
        <v>89</v>
      </c>
      <c r="D286" s="227"/>
      <c r="E286" s="227"/>
      <c r="F286" s="230"/>
      <c r="G286" s="194"/>
    </row>
    <row r="287" spans="2:7" s="31" customFormat="1" ht="35.25" x14ac:dyDescent="0.5">
      <c r="B287" s="226">
        <v>2</v>
      </c>
      <c r="C287" s="89" t="s">
        <v>270</v>
      </c>
      <c r="D287" s="227" t="s">
        <v>190</v>
      </c>
      <c r="E287" s="229">
        <f>'Take Off'!K12</f>
        <v>126.85000000000001</v>
      </c>
      <c r="F287" s="230">
        <v>0.8</v>
      </c>
      <c r="G287" s="194">
        <f>F287*E287</f>
        <v>101.48000000000002</v>
      </c>
    </row>
    <row r="288" spans="2:7" s="31" customFormat="1" x14ac:dyDescent="0.5">
      <c r="B288" s="226"/>
      <c r="C288" s="89"/>
      <c r="D288" s="227"/>
      <c r="E288" s="229"/>
      <c r="F288" s="230"/>
      <c r="G288" s="194"/>
    </row>
    <row r="289" spans="2:7" s="31" customFormat="1" x14ac:dyDescent="0.5">
      <c r="B289" s="237"/>
      <c r="C289" s="88" t="s">
        <v>90</v>
      </c>
      <c r="D289" s="227"/>
      <c r="E289" s="256"/>
      <c r="F289" s="230"/>
      <c r="G289" s="194"/>
    </row>
    <row r="290" spans="2:7" s="31" customFormat="1" ht="52.9" x14ac:dyDescent="0.5">
      <c r="B290" s="226">
        <v>3</v>
      </c>
      <c r="C290" s="26" t="s">
        <v>275</v>
      </c>
      <c r="D290" s="227" t="s">
        <v>39</v>
      </c>
      <c r="E290" s="229">
        <f>'Take Off'!L12-500</f>
        <v>230.86</v>
      </c>
      <c r="F290" s="230">
        <v>0.3</v>
      </c>
      <c r="G290" s="194">
        <f>F290*E290</f>
        <v>69.257999999999996</v>
      </c>
    </row>
    <row r="291" spans="2:7" s="31" customFormat="1" x14ac:dyDescent="0.5">
      <c r="B291" s="237"/>
      <c r="C291" s="91"/>
      <c r="D291" s="227"/>
      <c r="E291" s="256"/>
      <c r="F291" s="230"/>
      <c r="G291" s="194"/>
    </row>
    <row r="292" spans="2:7" s="31" customFormat="1" x14ac:dyDescent="0.5">
      <c r="B292" s="237"/>
      <c r="C292" s="88" t="s">
        <v>271</v>
      </c>
      <c r="D292" s="227"/>
      <c r="E292" s="256"/>
      <c r="F292" s="230"/>
      <c r="G292" s="194"/>
    </row>
    <row r="293" spans="2:7" s="31" customFormat="1" ht="57" customHeight="1" x14ac:dyDescent="0.5">
      <c r="B293" s="226">
        <v>4</v>
      </c>
      <c r="C293" s="26" t="s">
        <v>272</v>
      </c>
      <c r="D293" s="227" t="s">
        <v>51</v>
      </c>
      <c r="E293" s="229">
        <f>'Take Off'!J12</f>
        <v>4.1204290909090906</v>
      </c>
      <c r="F293" s="230">
        <v>15</v>
      </c>
      <c r="G293" s="194">
        <f>F293*E293</f>
        <v>61.806436363636358</v>
      </c>
    </row>
    <row r="294" spans="2:7" s="31" customFormat="1" x14ac:dyDescent="0.5">
      <c r="B294" s="237"/>
      <c r="C294" s="91"/>
      <c r="D294" s="227"/>
      <c r="E294" s="256"/>
      <c r="F294" s="230"/>
      <c r="G294" s="194"/>
    </row>
    <row r="295" spans="2:7" s="31" customFormat="1" x14ac:dyDescent="0.5">
      <c r="B295" s="237"/>
      <c r="C295" s="88" t="s">
        <v>91</v>
      </c>
      <c r="D295" s="227"/>
      <c r="E295" s="256"/>
      <c r="F295" s="230"/>
      <c r="G295" s="194"/>
    </row>
    <row r="296" spans="2:7" s="31" customFormat="1" ht="52.9" x14ac:dyDescent="0.5">
      <c r="B296" s="226">
        <v>5</v>
      </c>
      <c r="C296" s="41" t="s">
        <v>238</v>
      </c>
      <c r="D296" s="227" t="s">
        <v>190</v>
      </c>
      <c r="E296" s="229">
        <f>'Take Off'!H15</f>
        <v>24.632999999999999</v>
      </c>
      <c r="F296" s="230">
        <v>12.5</v>
      </c>
      <c r="G296" s="194">
        <f>F296*E296</f>
        <v>307.91249999999997</v>
      </c>
    </row>
    <row r="297" spans="2:7" s="31" customFormat="1" x14ac:dyDescent="0.5">
      <c r="B297" s="226"/>
      <c r="C297" s="41"/>
      <c r="D297" s="227"/>
      <c r="E297" s="229"/>
      <c r="F297" s="230"/>
      <c r="G297" s="194"/>
    </row>
    <row r="298" spans="2:7" s="31" customFormat="1" x14ac:dyDescent="0.5">
      <c r="B298" s="240"/>
      <c r="C298" s="92"/>
      <c r="D298" s="241"/>
      <c r="E298" s="261"/>
      <c r="F298" s="259"/>
      <c r="G298" s="212"/>
    </row>
    <row r="299" spans="2:7" s="31" customFormat="1" ht="17.25" x14ac:dyDescent="0.45">
      <c r="B299" s="346" t="s">
        <v>77</v>
      </c>
      <c r="C299" s="347"/>
      <c r="D299" s="347"/>
      <c r="E299" s="347"/>
      <c r="F299" s="348"/>
      <c r="G299" s="306">
        <f>SUM(G284:G296)</f>
        <v>939.32242549407124</v>
      </c>
    </row>
    <row r="300" spans="2:7" s="31" customFormat="1" ht="17.25" x14ac:dyDescent="0.45">
      <c r="B300" s="131"/>
      <c r="C300" s="168"/>
      <c r="D300" s="149"/>
      <c r="E300" s="143"/>
      <c r="F300" s="164"/>
      <c r="G300" s="195"/>
    </row>
    <row r="301" spans="2:7" s="31" customFormat="1" x14ac:dyDescent="0.5">
      <c r="B301" s="368" t="s">
        <v>106</v>
      </c>
      <c r="C301" s="369"/>
      <c r="D301" s="28"/>
      <c r="E301" s="165"/>
      <c r="F301" s="64"/>
      <c r="G301" s="210"/>
    </row>
    <row r="302" spans="2:7" s="31" customFormat="1" ht="17.25" x14ac:dyDescent="0.45">
      <c r="B302" s="293" t="s">
        <v>8</v>
      </c>
      <c r="C302" s="294" t="s">
        <v>240</v>
      </c>
      <c r="D302" s="295" t="s">
        <v>9</v>
      </c>
      <c r="E302" s="296" t="s">
        <v>10</v>
      </c>
      <c r="F302" s="297" t="s">
        <v>11</v>
      </c>
      <c r="G302" s="298" t="s">
        <v>12</v>
      </c>
    </row>
    <row r="303" spans="2:7" s="31" customFormat="1" x14ac:dyDescent="0.5">
      <c r="B303" s="170"/>
      <c r="C303" s="98" t="s">
        <v>93</v>
      </c>
      <c r="D303" s="97"/>
      <c r="E303" s="99"/>
      <c r="F303" s="100"/>
      <c r="G303" s="213"/>
    </row>
    <row r="304" spans="2:7" s="31" customFormat="1" ht="35.25" x14ac:dyDescent="0.5">
      <c r="B304" s="262">
        <v>1</v>
      </c>
      <c r="C304" s="101" t="s">
        <v>273</v>
      </c>
      <c r="D304" s="263" t="s">
        <v>190</v>
      </c>
      <c r="E304" s="264">
        <f>'Take Off'!H22-150</f>
        <v>368.36050724637687</v>
      </c>
      <c r="F304" s="265">
        <v>2.5</v>
      </c>
      <c r="G304" s="213">
        <f>F304*E304</f>
        <v>920.90126811594223</v>
      </c>
    </row>
    <row r="305" spans="2:7" s="31" customFormat="1" x14ac:dyDescent="0.5">
      <c r="B305" s="262"/>
      <c r="C305" s="101"/>
      <c r="D305" s="263"/>
      <c r="E305" s="266"/>
      <c r="F305" s="265"/>
      <c r="G305" s="213"/>
    </row>
    <row r="306" spans="2:7" s="31" customFormat="1" x14ac:dyDescent="0.5">
      <c r="B306" s="262"/>
      <c r="C306" s="98" t="s">
        <v>94</v>
      </c>
      <c r="D306" s="263"/>
      <c r="E306" s="266"/>
      <c r="F306" s="265"/>
      <c r="G306" s="213"/>
    </row>
    <row r="307" spans="2:7" s="31" customFormat="1" ht="35.25" x14ac:dyDescent="0.5">
      <c r="B307" s="262">
        <v>2</v>
      </c>
      <c r="C307" s="102" t="s">
        <v>227</v>
      </c>
      <c r="D307" s="263" t="s">
        <v>190</v>
      </c>
      <c r="E307" s="264">
        <f>'Take Off'!I22</f>
        <v>206.95652173913047</v>
      </c>
      <c r="F307" s="265">
        <v>2.5</v>
      </c>
      <c r="G307" s="213">
        <f>F307*E307</f>
        <v>517.39130434782612</v>
      </c>
    </row>
    <row r="308" spans="2:7" s="31" customFormat="1" x14ac:dyDescent="0.5">
      <c r="B308" s="171"/>
      <c r="C308" s="103"/>
      <c r="D308" s="104"/>
      <c r="E308" s="105"/>
      <c r="F308" s="106"/>
      <c r="G308" s="214"/>
    </row>
    <row r="309" spans="2:7" s="31" customFormat="1" ht="17.25" x14ac:dyDescent="0.45">
      <c r="B309" s="370" t="s">
        <v>77</v>
      </c>
      <c r="C309" s="371"/>
      <c r="D309" s="371"/>
      <c r="E309" s="371"/>
      <c r="F309" s="372"/>
      <c r="G309" s="307">
        <f>SUM(G304:G307)</f>
        <v>1438.2925724637685</v>
      </c>
    </row>
    <row r="310" spans="2:7" s="31" customFormat="1" ht="17.25" x14ac:dyDescent="0.45">
      <c r="B310" s="339"/>
      <c r="C310" s="340"/>
      <c r="D310" s="340"/>
      <c r="E310" s="340"/>
      <c r="F310" s="340"/>
      <c r="G310" s="195"/>
    </row>
    <row r="311" spans="2:7" s="31" customFormat="1" x14ac:dyDescent="0.5">
      <c r="B311" s="237"/>
      <c r="C311" s="88" t="s">
        <v>91</v>
      </c>
      <c r="D311" s="227"/>
      <c r="E311" s="256"/>
      <c r="F311" s="230"/>
      <c r="G311" s="194"/>
    </row>
    <row r="312" spans="2:7" s="31" customFormat="1" ht="52.9" x14ac:dyDescent="0.5">
      <c r="B312" s="226">
        <v>1</v>
      </c>
      <c r="C312" s="41" t="s">
        <v>238</v>
      </c>
      <c r="D312" s="227" t="s">
        <v>190</v>
      </c>
      <c r="E312" s="229">
        <f>'Take Off'!H15</f>
        <v>24.632999999999999</v>
      </c>
      <c r="F312" s="230">
        <v>12.5</v>
      </c>
      <c r="G312" s="194">
        <f>E312*F312</f>
        <v>307.91249999999997</v>
      </c>
    </row>
    <row r="313" spans="2:7" s="31" customFormat="1" ht="17.25" x14ac:dyDescent="0.45">
      <c r="B313" s="339"/>
      <c r="C313" s="340"/>
      <c r="D313" s="340"/>
      <c r="E313" s="340"/>
      <c r="F313" s="340"/>
      <c r="G313" s="195"/>
    </row>
    <row r="314" spans="2:7" s="31" customFormat="1" ht="17.25" x14ac:dyDescent="0.45">
      <c r="B314" s="370" t="s">
        <v>77</v>
      </c>
      <c r="C314" s="371"/>
      <c r="D314" s="371"/>
      <c r="E314" s="371"/>
      <c r="F314" s="372"/>
      <c r="G314" s="307">
        <f>G312</f>
        <v>307.91249999999997</v>
      </c>
    </row>
    <row r="315" spans="2:7" s="31" customFormat="1" ht="17.25" x14ac:dyDescent="0.45">
      <c r="B315" s="131"/>
      <c r="C315" s="168"/>
      <c r="D315" s="28"/>
      <c r="E315" s="165"/>
      <c r="F315" s="64"/>
      <c r="G315" s="195"/>
    </row>
    <row r="316" spans="2:7" s="31" customFormat="1" ht="17.25" x14ac:dyDescent="0.45">
      <c r="B316" s="349" t="s">
        <v>232</v>
      </c>
      <c r="C316" s="350"/>
      <c r="D316" s="28"/>
      <c r="E316" s="165"/>
      <c r="F316" s="64"/>
      <c r="G316" s="195"/>
    </row>
    <row r="317" spans="2:7" s="31" customFormat="1" ht="17.25" x14ac:dyDescent="0.45">
      <c r="B317" s="291" t="s">
        <v>8</v>
      </c>
      <c r="C317" s="286" t="s">
        <v>240</v>
      </c>
      <c r="D317" s="287" t="s">
        <v>9</v>
      </c>
      <c r="E317" s="288" t="s">
        <v>10</v>
      </c>
      <c r="F317" s="289" t="s">
        <v>11</v>
      </c>
      <c r="G317" s="290" t="s">
        <v>12</v>
      </c>
    </row>
    <row r="318" spans="2:7" s="31" customFormat="1" ht="52.9" x14ac:dyDescent="0.5">
      <c r="B318" s="267">
        <v>1</v>
      </c>
      <c r="C318" s="107" t="s">
        <v>229</v>
      </c>
      <c r="D318" s="268"/>
      <c r="E318" s="269"/>
      <c r="F318" s="270"/>
      <c r="G318" s="200"/>
    </row>
    <row r="319" spans="2:7" s="31" customFormat="1" x14ac:dyDescent="0.5">
      <c r="B319" s="226"/>
      <c r="C319" s="21" t="s">
        <v>228</v>
      </c>
      <c r="D319" s="227" t="s">
        <v>190</v>
      </c>
      <c r="E319" s="271">
        <f>+'Take Off'!D4+40</f>
        <v>212</v>
      </c>
      <c r="F319" s="230">
        <v>1.5</v>
      </c>
      <c r="G319" s="194">
        <f>F319*E319</f>
        <v>318</v>
      </c>
    </row>
    <row r="320" spans="2:7" s="31" customFormat="1" x14ac:dyDescent="0.5">
      <c r="B320" s="146"/>
      <c r="C320" s="42"/>
      <c r="D320" s="46"/>
      <c r="E320" s="87"/>
      <c r="F320" s="44"/>
      <c r="G320" s="194"/>
    </row>
    <row r="321" spans="2:8" s="31" customFormat="1" ht="17.25" x14ac:dyDescent="0.45">
      <c r="B321" s="346" t="s">
        <v>77</v>
      </c>
      <c r="C321" s="347"/>
      <c r="D321" s="347"/>
      <c r="E321" s="347"/>
      <c r="F321" s="348"/>
      <c r="G321" s="306">
        <f>SUM(G319:G320)</f>
        <v>318</v>
      </c>
    </row>
    <row r="322" spans="2:8" s="31" customFormat="1" ht="17.25" x14ac:dyDescent="0.45">
      <c r="B322" s="131"/>
      <c r="C322" s="168"/>
      <c r="D322" s="28"/>
      <c r="E322" s="165"/>
      <c r="F322" s="64"/>
      <c r="G322" s="195"/>
    </row>
    <row r="323" spans="2:8" s="31" customFormat="1" x14ac:dyDescent="0.5">
      <c r="B323" s="349" t="s">
        <v>95</v>
      </c>
      <c r="C323" s="350"/>
      <c r="D323" s="28"/>
      <c r="E323" s="165"/>
      <c r="F323" s="64"/>
      <c r="G323" s="210"/>
    </row>
    <row r="324" spans="2:8" s="31" customFormat="1" ht="17.25" x14ac:dyDescent="0.45">
      <c r="B324" s="291" t="s">
        <v>8</v>
      </c>
      <c r="C324" s="286" t="s">
        <v>240</v>
      </c>
      <c r="D324" s="287" t="s">
        <v>9</v>
      </c>
      <c r="E324" s="288" t="s">
        <v>10</v>
      </c>
      <c r="F324" s="289" t="s">
        <v>11</v>
      </c>
      <c r="G324" s="290" t="s">
        <v>12</v>
      </c>
    </row>
    <row r="325" spans="2:8" s="31" customFormat="1" ht="70.5" x14ac:dyDescent="0.5">
      <c r="B325" s="267">
        <v>1</v>
      </c>
      <c r="C325" s="108" t="s">
        <v>230</v>
      </c>
      <c r="D325" s="268" t="s">
        <v>231</v>
      </c>
      <c r="E325" s="268">
        <v>1</v>
      </c>
      <c r="F325" s="272">
        <f>350+300</f>
        <v>650</v>
      </c>
      <c r="G325" s="200">
        <f>+E325*F325</f>
        <v>650</v>
      </c>
    </row>
    <row r="326" spans="2:8" s="31" customFormat="1" x14ac:dyDescent="0.5">
      <c r="B326" s="158"/>
      <c r="C326" s="109"/>
      <c r="D326" s="77"/>
      <c r="E326" s="66"/>
      <c r="F326" s="85"/>
      <c r="G326" s="212"/>
    </row>
    <row r="327" spans="2:8" s="31" customFormat="1" ht="17.25" x14ac:dyDescent="0.45">
      <c r="B327" s="346" t="s">
        <v>77</v>
      </c>
      <c r="C327" s="347"/>
      <c r="D327" s="347"/>
      <c r="E327" s="347"/>
      <c r="F327" s="348"/>
      <c r="G327" s="308">
        <f>SUM(G325:G326)</f>
        <v>650</v>
      </c>
    </row>
    <row r="328" spans="2:8" s="31" customFormat="1" x14ac:dyDescent="0.5">
      <c r="B328" s="154"/>
      <c r="C328" s="172"/>
      <c r="D328" s="28"/>
      <c r="E328" s="29"/>
      <c r="F328" s="64"/>
      <c r="G328" s="210"/>
    </row>
    <row r="329" spans="2:8" s="31" customFormat="1" x14ac:dyDescent="0.5">
      <c r="B329" s="349" t="s">
        <v>237</v>
      </c>
      <c r="C329" s="350"/>
      <c r="D329" s="28"/>
      <c r="E329" s="29"/>
      <c r="F329" s="64"/>
      <c r="G329" s="192"/>
    </row>
    <row r="330" spans="2:8" s="31" customFormat="1" ht="17.25" x14ac:dyDescent="0.45">
      <c r="B330" s="291" t="s">
        <v>8</v>
      </c>
      <c r="C330" s="286" t="s">
        <v>240</v>
      </c>
      <c r="D330" s="287" t="s">
        <v>9</v>
      </c>
      <c r="E330" s="288" t="s">
        <v>10</v>
      </c>
      <c r="F330" s="289" t="s">
        <v>11</v>
      </c>
      <c r="G330" s="290" t="s">
        <v>12</v>
      </c>
    </row>
    <row r="331" spans="2:8" s="31" customFormat="1" x14ac:dyDescent="0.5">
      <c r="B331" s="237"/>
      <c r="C331" s="88" t="s">
        <v>233</v>
      </c>
      <c r="D331" s="273"/>
      <c r="E331" s="273"/>
      <c r="F331" s="274"/>
      <c r="G331" s="194"/>
    </row>
    <row r="332" spans="2:8" s="31" customFormat="1" ht="70.5" x14ac:dyDescent="0.5">
      <c r="B332" s="226">
        <v>1</v>
      </c>
      <c r="C332" s="26" t="s">
        <v>242</v>
      </c>
      <c r="D332" s="227" t="s">
        <v>15</v>
      </c>
      <c r="E332" s="227">
        <f>'Take Off'!D4/1.7</f>
        <v>101.17647058823529</v>
      </c>
      <c r="F332" s="230">
        <v>12.5</v>
      </c>
      <c r="G332" s="194">
        <f>E332*F332</f>
        <v>1264.7058823529412</v>
      </c>
    </row>
    <row r="333" spans="2:8" s="31" customFormat="1" x14ac:dyDescent="0.5">
      <c r="B333" s="226"/>
      <c r="C333" s="26"/>
      <c r="D333" s="227"/>
      <c r="E333" s="227"/>
      <c r="F333" s="230"/>
      <c r="G333" s="194"/>
      <c r="H333" s="32"/>
    </row>
    <row r="334" spans="2:8" s="31" customFormat="1" x14ac:dyDescent="0.5">
      <c r="B334" s="226"/>
      <c r="C334" s="88" t="s">
        <v>234</v>
      </c>
      <c r="D334" s="227"/>
      <c r="E334" s="227"/>
      <c r="F334" s="230"/>
      <c r="G334" s="194"/>
      <c r="H334" s="32"/>
    </row>
    <row r="335" spans="2:8" s="31" customFormat="1" x14ac:dyDescent="0.5">
      <c r="B335" s="226">
        <v>2</v>
      </c>
      <c r="C335" s="25" t="s">
        <v>235</v>
      </c>
      <c r="D335" s="227" t="s">
        <v>191</v>
      </c>
      <c r="E335" s="229">
        <f>+E149*3.6</f>
        <v>85.68</v>
      </c>
      <c r="F335" s="230">
        <v>1.5</v>
      </c>
      <c r="G335" s="194">
        <f t="shared" ref="G335:G340" si="7">E335*F335</f>
        <v>128.52000000000001</v>
      </c>
      <c r="H335" s="32"/>
    </row>
    <row r="336" spans="2:8" s="31" customFormat="1" x14ac:dyDescent="0.5">
      <c r="B336" s="226"/>
      <c r="C336" s="25"/>
      <c r="D336" s="227"/>
      <c r="E336" s="227"/>
      <c r="F336" s="230"/>
      <c r="G336" s="194"/>
      <c r="H336" s="32"/>
    </row>
    <row r="337" spans="2:8" s="31" customFormat="1" x14ac:dyDescent="0.5">
      <c r="B337" s="226"/>
      <c r="C337" s="110" t="s">
        <v>236</v>
      </c>
      <c r="D337" s="227"/>
      <c r="E337" s="227"/>
      <c r="F337" s="230"/>
      <c r="G337" s="194"/>
      <c r="H337" s="32"/>
    </row>
    <row r="338" spans="2:8" s="31" customFormat="1" ht="70.5" x14ac:dyDescent="0.5">
      <c r="B338" s="226">
        <v>3</v>
      </c>
      <c r="C338" s="26" t="s">
        <v>315</v>
      </c>
      <c r="D338" s="227" t="s">
        <v>190</v>
      </c>
      <c r="E338" s="229">
        <f>'Take Off'!D4*1.5</f>
        <v>258</v>
      </c>
      <c r="F338" s="230">
        <v>4.5</v>
      </c>
      <c r="G338" s="194">
        <f>E338*F338</f>
        <v>1161</v>
      </c>
      <c r="H338" s="32"/>
    </row>
    <row r="339" spans="2:8" s="31" customFormat="1" x14ac:dyDescent="0.5">
      <c r="B339" s="226"/>
      <c r="C339" s="110"/>
      <c r="D339" s="227"/>
      <c r="E339" s="227"/>
      <c r="F339" s="230"/>
      <c r="G339" s="194"/>
      <c r="H339" s="32"/>
    </row>
    <row r="340" spans="2:8" s="31" customFormat="1" x14ac:dyDescent="0.5">
      <c r="B340" s="226">
        <v>4</v>
      </c>
      <c r="C340" s="89" t="s">
        <v>290</v>
      </c>
      <c r="D340" s="227" t="s">
        <v>15</v>
      </c>
      <c r="E340" s="227">
        <f>+E132*2.4</f>
        <v>504</v>
      </c>
      <c r="F340" s="230">
        <v>1</v>
      </c>
      <c r="G340" s="194">
        <f t="shared" si="7"/>
        <v>504</v>
      </c>
      <c r="H340" s="32"/>
    </row>
    <row r="341" spans="2:8" s="31" customFormat="1" x14ac:dyDescent="0.5">
      <c r="B341" s="257"/>
      <c r="C341" s="109"/>
      <c r="D341" s="241"/>
      <c r="E341" s="258"/>
      <c r="F341" s="275"/>
      <c r="G341" s="212"/>
      <c r="H341" s="32"/>
    </row>
    <row r="342" spans="2:8" s="31" customFormat="1" ht="17.25" x14ac:dyDescent="0.45">
      <c r="B342" s="346" t="s">
        <v>77</v>
      </c>
      <c r="C342" s="347"/>
      <c r="D342" s="347"/>
      <c r="E342" s="347"/>
      <c r="F342" s="348"/>
      <c r="G342" s="309">
        <f>SUM(G331:G341)</f>
        <v>3058.225882352941</v>
      </c>
      <c r="H342" s="32"/>
    </row>
    <row r="343" spans="2:8" s="31" customFormat="1" ht="18" thickBot="1" x14ac:dyDescent="0.55000000000000004">
      <c r="B343" s="140"/>
      <c r="C343" s="30"/>
      <c r="D343" s="28"/>
      <c r="E343" s="165"/>
      <c r="F343" s="166"/>
      <c r="G343" s="210"/>
      <c r="H343" s="32"/>
    </row>
    <row r="344" spans="2:8" s="31" customFormat="1" thickBot="1" x14ac:dyDescent="0.5">
      <c r="B344" s="351" t="s">
        <v>96</v>
      </c>
      <c r="C344" s="352"/>
      <c r="D344" s="352"/>
      <c r="E344" s="352"/>
      <c r="F344" s="353"/>
      <c r="G344" s="310">
        <f>G342+G327+G321+G309+G299+G279+G268</f>
        <v>10942.251412919475</v>
      </c>
      <c r="H344" s="32"/>
    </row>
    <row r="345" spans="2:8" s="31" customFormat="1" thickBot="1" x14ac:dyDescent="0.5">
      <c r="B345" s="351" t="s">
        <v>97</v>
      </c>
      <c r="C345" s="352"/>
      <c r="D345" s="352"/>
      <c r="E345" s="352"/>
      <c r="F345" s="353"/>
      <c r="G345" s="310">
        <f>G242+G177+G136+G125+G116+G82+G49+G94</f>
        <v>26302.80764596731</v>
      </c>
      <c r="H345" s="32"/>
    </row>
    <row r="346" spans="2:8" s="31" customFormat="1" ht="15.75" thickBot="1" x14ac:dyDescent="0.5">
      <c r="B346" s="354"/>
      <c r="C346" s="355"/>
      <c r="D346" s="355"/>
      <c r="E346" s="355"/>
      <c r="F346" s="355"/>
      <c r="G346" s="356"/>
      <c r="H346" s="32"/>
    </row>
    <row r="347" spans="2:8" s="31" customFormat="1" thickBot="1" x14ac:dyDescent="0.5">
      <c r="B347" s="351" t="s">
        <v>98</v>
      </c>
      <c r="C347" s="352"/>
      <c r="D347" s="352"/>
      <c r="E347" s="352"/>
      <c r="F347" s="353"/>
      <c r="G347" s="310">
        <f>G345+G344</f>
        <v>37245.059058886785</v>
      </c>
      <c r="H347" s="32"/>
    </row>
    <row r="348" spans="2:8" s="31" customFormat="1" x14ac:dyDescent="0.5">
      <c r="B348" s="154"/>
      <c r="C348" s="30"/>
      <c r="D348" s="28"/>
      <c r="E348" s="29"/>
      <c r="F348" s="64"/>
      <c r="G348" s="210"/>
    </row>
    <row r="349" spans="2:8" s="31" customFormat="1" x14ac:dyDescent="0.5">
      <c r="B349" s="357" t="s">
        <v>99</v>
      </c>
      <c r="C349" s="358"/>
      <c r="D349" s="28"/>
      <c r="E349" s="29"/>
      <c r="F349" s="64"/>
      <c r="G349" s="215"/>
    </row>
    <row r="350" spans="2:8" s="31" customFormat="1" ht="18" thickBot="1" x14ac:dyDescent="0.55000000000000004">
      <c r="B350" s="359" t="s">
        <v>100</v>
      </c>
      <c r="C350" s="360"/>
      <c r="D350" s="28"/>
      <c r="E350" s="29"/>
      <c r="F350" s="64"/>
      <c r="G350" s="215"/>
    </row>
    <row r="351" spans="2:8" s="31" customFormat="1" thickBot="1" x14ac:dyDescent="0.5">
      <c r="B351" s="173"/>
      <c r="C351" s="114" t="s">
        <v>79</v>
      </c>
      <c r="D351" s="111"/>
      <c r="E351" s="112"/>
      <c r="F351" s="113"/>
      <c r="G351" s="216" t="s">
        <v>80</v>
      </c>
    </row>
    <row r="352" spans="2:8" s="31" customFormat="1" x14ac:dyDescent="0.5">
      <c r="B352" s="174"/>
      <c r="C352" s="141" t="s">
        <v>101</v>
      </c>
      <c r="D352" s="28"/>
      <c r="E352" s="29"/>
      <c r="F352" s="64"/>
      <c r="G352" s="217"/>
    </row>
    <row r="353" spans="2:224" x14ac:dyDescent="0.5">
      <c r="B353" s="174"/>
      <c r="G353" s="217"/>
      <c r="H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c r="DD353" s="27"/>
      <c r="DE353" s="27"/>
      <c r="DF353" s="27"/>
      <c r="DG353" s="27"/>
      <c r="DH353" s="27"/>
      <c r="DI353" s="27"/>
      <c r="DJ353" s="27"/>
      <c r="DK353" s="27"/>
      <c r="DL353" s="27"/>
      <c r="DM353" s="27"/>
      <c r="DN353" s="27"/>
      <c r="DO353" s="27"/>
      <c r="DP353" s="27"/>
      <c r="DQ353" s="27"/>
      <c r="DR353" s="27"/>
      <c r="DS353" s="27"/>
      <c r="DT353" s="27"/>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c r="EZ353" s="27"/>
      <c r="FA353" s="27"/>
      <c r="FB353" s="27"/>
      <c r="FC353" s="27"/>
      <c r="FD353" s="27"/>
      <c r="FE353" s="27"/>
      <c r="FF353" s="27"/>
      <c r="FG353" s="27"/>
      <c r="FH353" s="27"/>
      <c r="FI353" s="27"/>
      <c r="FJ353" s="27"/>
      <c r="FK353" s="27"/>
      <c r="FL353" s="27"/>
      <c r="FM353" s="27"/>
      <c r="FN353" s="27"/>
      <c r="FO353" s="27"/>
      <c r="FP353" s="27"/>
      <c r="FQ353" s="27"/>
      <c r="FR353" s="27"/>
      <c r="FS353" s="27"/>
      <c r="FT353" s="27"/>
      <c r="FU353" s="27"/>
      <c r="FV353" s="27"/>
      <c r="FW353" s="27"/>
      <c r="FX353" s="27"/>
      <c r="FY353" s="27"/>
      <c r="FZ353" s="27"/>
      <c r="GA353" s="27"/>
      <c r="GB353" s="27"/>
      <c r="GC353" s="27"/>
      <c r="GD353" s="27"/>
      <c r="GE353" s="27"/>
      <c r="GF353" s="27"/>
      <c r="GG353" s="27"/>
      <c r="GH353" s="27"/>
      <c r="GI353" s="27"/>
      <c r="GJ353" s="27"/>
      <c r="GK353" s="27"/>
      <c r="GL353" s="27"/>
      <c r="GM353" s="27"/>
      <c r="GN353" s="27"/>
      <c r="GO353" s="27"/>
      <c r="GP353" s="27"/>
      <c r="GQ353" s="27"/>
      <c r="GR353" s="27"/>
      <c r="GS353" s="27"/>
      <c r="GT353" s="27"/>
      <c r="GU353" s="27"/>
      <c r="GV353" s="27"/>
      <c r="GW353" s="27"/>
      <c r="GX353" s="27"/>
      <c r="GY353" s="27"/>
      <c r="GZ353" s="27"/>
      <c r="HA353" s="27"/>
      <c r="HB353" s="27"/>
      <c r="HC353" s="27"/>
      <c r="HD353" s="27"/>
      <c r="HE353" s="27"/>
      <c r="HF353" s="27"/>
      <c r="HG353" s="27"/>
      <c r="HH353" s="27"/>
      <c r="HI353" s="27"/>
      <c r="HJ353" s="27"/>
      <c r="HK353" s="27"/>
      <c r="HL353" s="27"/>
      <c r="HM353" s="27"/>
      <c r="HN353" s="27"/>
      <c r="HO353" s="27"/>
      <c r="HP353" s="27"/>
    </row>
    <row r="354" spans="2:224" x14ac:dyDescent="0.5">
      <c r="B354" s="174"/>
      <c r="C354" s="175" t="s">
        <v>102</v>
      </c>
      <c r="G354" s="217"/>
      <c r="H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27"/>
      <c r="FH354" s="27"/>
      <c r="FI354" s="27"/>
      <c r="FJ354" s="27"/>
      <c r="FK354" s="27"/>
      <c r="FL354" s="27"/>
      <c r="FM354" s="27"/>
      <c r="FN354" s="27"/>
      <c r="FO354" s="27"/>
      <c r="FP354" s="27"/>
      <c r="FQ354" s="27"/>
      <c r="FR354" s="27"/>
      <c r="FS354" s="27"/>
      <c r="FT354" s="27"/>
      <c r="FU354" s="27"/>
      <c r="FV354" s="27"/>
      <c r="FW354" s="27"/>
      <c r="FX354" s="27"/>
      <c r="FY354" s="27"/>
      <c r="FZ354" s="27"/>
      <c r="GA354" s="27"/>
      <c r="GB354" s="27"/>
      <c r="GC354" s="27"/>
      <c r="GD354" s="27"/>
      <c r="GE354" s="27"/>
      <c r="GF354" s="27"/>
      <c r="GG354" s="27"/>
      <c r="GH354" s="27"/>
      <c r="GI354" s="27"/>
      <c r="GJ354" s="27"/>
      <c r="GK354" s="27"/>
      <c r="GL354" s="27"/>
      <c r="GM354" s="27"/>
      <c r="GN354" s="27"/>
      <c r="GO354" s="27"/>
      <c r="GP354" s="27"/>
      <c r="GQ354" s="27"/>
      <c r="GR354" s="27"/>
      <c r="GS354" s="27"/>
      <c r="GT354" s="27"/>
      <c r="GU354" s="27"/>
      <c r="GV354" s="27"/>
      <c r="GW354" s="27"/>
      <c r="GX354" s="27"/>
      <c r="GY354" s="27"/>
      <c r="GZ354" s="27"/>
      <c r="HA354" s="27"/>
      <c r="HB354" s="27"/>
      <c r="HC354" s="27"/>
      <c r="HD354" s="27"/>
      <c r="HE354" s="27"/>
      <c r="HF354" s="27"/>
      <c r="HG354" s="27"/>
      <c r="HH354" s="27"/>
      <c r="HI354" s="27"/>
      <c r="HJ354" s="27"/>
      <c r="HK354" s="27"/>
      <c r="HL354" s="27"/>
      <c r="HM354" s="27"/>
      <c r="HN354" s="27"/>
      <c r="HO354" s="27"/>
      <c r="HP354" s="27"/>
    </row>
    <row r="355" spans="2:224" x14ac:dyDescent="0.5">
      <c r="B355" s="174">
        <v>1</v>
      </c>
      <c r="C355" s="30" t="s">
        <v>103</v>
      </c>
      <c r="G355" s="311">
        <f>G268+G49</f>
        <v>8961.2939539328054</v>
      </c>
      <c r="H355" s="27"/>
      <c r="J355" s="64"/>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c r="FH355" s="27"/>
      <c r="FI355" s="27"/>
      <c r="FJ355" s="27"/>
      <c r="FK355" s="27"/>
      <c r="FL355" s="27"/>
      <c r="FM355" s="27"/>
      <c r="FN355" s="27"/>
      <c r="FO355" s="27"/>
      <c r="FP355" s="27"/>
      <c r="FQ355" s="27"/>
      <c r="FR355" s="27"/>
      <c r="FS355" s="27"/>
      <c r="FT355" s="27"/>
      <c r="FU355" s="27"/>
      <c r="FV355" s="27"/>
      <c r="FW355" s="27"/>
      <c r="FX355" s="27"/>
      <c r="FY355" s="27"/>
      <c r="FZ355" s="27"/>
      <c r="GA355" s="27"/>
      <c r="GB355" s="27"/>
      <c r="GC355" s="27"/>
      <c r="GD355" s="27"/>
      <c r="GE355" s="27"/>
      <c r="GF355" s="27"/>
      <c r="GG355" s="27"/>
      <c r="GH355" s="27"/>
      <c r="GI355" s="27"/>
      <c r="GJ355" s="27"/>
      <c r="GK355" s="27"/>
      <c r="GL355" s="27"/>
      <c r="GM355" s="27"/>
      <c r="GN355" s="27"/>
      <c r="GO355" s="27"/>
      <c r="GP355" s="27"/>
      <c r="GQ355" s="27"/>
      <c r="GR355" s="27"/>
      <c r="GS355" s="27"/>
      <c r="GT355" s="27"/>
      <c r="GU355" s="27"/>
      <c r="GV355" s="27"/>
      <c r="GW355" s="27"/>
      <c r="GX355" s="27"/>
      <c r="GY355" s="27"/>
      <c r="GZ355" s="27"/>
      <c r="HA355" s="27"/>
      <c r="HB355" s="27"/>
      <c r="HC355" s="27"/>
      <c r="HD355" s="27"/>
      <c r="HE355" s="27"/>
      <c r="HF355" s="27"/>
      <c r="HG355" s="27"/>
      <c r="HH355" s="27"/>
      <c r="HI355" s="27"/>
      <c r="HJ355" s="27"/>
      <c r="HK355" s="27"/>
      <c r="HL355" s="27"/>
      <c r="HM355" s="27"/>
      <c r="HN355" s="27"/>
      <c r="HO355" s="27"/>
      <c r="HP355" s="27"/>
    </row>
    <row r="356" spans="2:224" x14ac:dyDescent="0.5">
      <c r="B356" s="174">
        <v>2</v>
      </c>
      <c r="C356" s="30" t="s">
        <v>104</v>
      </c>
      <c r="G356" s="311">
        <f>G299+G279+G82+G94</f>
        <v>12172.00245761453</v>
      </c>
      <c r="H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c r="FH356" s="27"/>
      <c r="FI356" s="27"/>
      <c r="FJ356" s="27"/>
      <c r="FK356" s="27"/>
      <c r="FL356" s="27"/>
      <c r="FM356" s="27"/>
      <c r="FN356" s="27"/>
      <c r="FO356" s="27"/>
      <c r="FP356" s="27"/>
      <c r="FQ356" s="27"/>
      <c r="FR356" s="27"/>
      <c r="FS356" s="27"/>
      <c r="FT356" s="27"/>
      <c r="FU356" s="27"/>
      <c r="FV356" s="27"/>
      <c r="FW356" s="27"/>
      <c r="FX356" s="27"/>
      <c r="FY356" s="27"/>
      <c r="FZ356" s="27"/>
      <c r="GA356" s="27"/>
      <c r="GB356" s="27"/>
      <c r="GC356" s="27"/>
      <c r="GD356" s="27"/>
      <c r="GE356" s="27"/>
      <c r="GF356" s="27"/>
      <c r="GG356" s="27"/>
      <c r="GH356" s="27"/>
      <c r="GI356" s="27"/>
      <c r="GJ356" s="27"/>
      <c r="GK356" s="27"/>
      <c r="GL356" s="27"/>
      <c r="GM356" s="27"/>
      <c r="GN356" s="27"/>
      <c r="GO356" s="27"/>
      <c r="GP356" s="27"/>
      <c r="GQ356" s="27"/>
      <c r="GR356" s="27"/>
      <c r="GS356" s="27"/>
      <c r="GT356" s="27"/>
      <c r="GU356" s="27"/>
      <c r="GV356" s="27"/>
      <c r="GW356" s="27"/>
      <c r="GX356" s="27"/>
      <c r="GY356" s="27"/>
      <c r="GZ356" s="27"/>
      <c r="HA356" s="27"/>
      <c r="HB356" s="27"/>
      <c r="HC356" s="27"/>
      <c r="HD356" s="27"/>
      <c r="HE356" s="27"/>
      <c r="HF356" s="27"/>
      <c r="HG356" s="27"/>
      <c r="HH356" s="27"/>
      <c r="HI356" s="27"/>
      <c r="HJ356" s="27"/>
      <c r="HK356" s="27"/>
      <c r="HL356" s="27"/>
      <c r="HM356" s="27"/>
      <c r="HN356" s="27"/>
      <c r="HO356" s="27"/>
      <c r="HP356" s="27"/>
    </row>
    <row r="357" spans="2:224" x14ac:dyDescent="0.5">
      <c r="B357" s="174">
        <v>3</v>
      </c>
      <c r="C357" s="30" t="s">
        <v>105</v>
      </c>
      <c r="G357" s="311">
        <f>G136+G177+G342</f>
        <v>10170.863744000941</v>
      </c>
    </row>
    <row r="358" spans="2:224" x14ac:dyDescent="0.5">
      <c r="B358" s="174">
        <v>4</v>
      </c>
      <c r="C358" s="30" t="s">
        <v>106</v>
      </c>
      <c r="G358" s="311">
        <f>G309+G116</f>
        <v>3328.3989033385096</v>
      </c>
    </row>
    <row r="359" spans="2:224" x14ac:dyDescent="0.5">
      <c r="B359" s="174">
        <v>5</v>
      </c>
      <c r="C359" s="30" t="s">
        <v>107</v>
      </c>
      <c r="G359" s="311">
        <f>G321+G125</f>
        <v>1350</v>
      </c>
      <c r="H359" s="32"/>
      <c r="I359" s="334"/>
      <c r="J359" s="32"/>
      <c r="L359" s="165"/>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c r="CK359" s="32"/>
      <c r="CL359" s="32"/>
      <c r="CM359" s="32"/>
      <c r="CN359" s="32"/>
      <c r="CO359" s="32"/>
      <c r="CP359" s="32"/>
      <c r="CQ359" s="32"/>
      <c r="CR359" s="32"/>
      <c r="CS359" s="32"/>
      <c r="CT359" s="32"/>
      <c r="CU359" s="32"/>
      <c r="CV359" s="32"/>
      <c r="CW359" s="32"/>
      <c r="CX359" s="32"/>
      <c r="CY359" s="32"/>
      <c r="CZ359" s="32"/>
      <c r="DA359" s="32"/>
      <c r="DB359" s="32"/>
      <c r="DC359" s="32"/>
      <c r="DD359" s="32"/>
      <c r="DE359" s="32"/>
      <c r="DF359" s="32"/>
      <c r="DG359" s="32"/>
      <c r="DH359" s="32"/>
      <c r="DI359" s="32"/>
      <c r="DJ359" s="32"/>
      <c r="DK359" s="32"/>
      <c r="DL359" s="32"/>
      <c r="DM359" s="32"/>
      <c r="DN359" s="32"/>
      <c r="DO359" s="32"/>
      <c r="DP359" s="32"/>
      <c r="DQ359" s="32"/>
      <c r="DR359" s="32"/>
      <c r="DS359" s="32"/>
      <c r="DT359" s="32"/>
      <c r="DU359" s="32"/>
      <c r="DV359" s="32"/>
      <c r="DW359" s="32"/>
      <c r="DX359" s="32"/>
      <c r="DY359" s="32"/>
      <c r="DZ359" s="32"/>
      <c r="EA359" s="32"/>
      <c r="EB359" s="32"/>
      <c r="EC359" s="32"/>
      <c r="ED359" s="32"/>
      <c r="EE359" s="32"/>
      <c r="EF359" s="32"/>
      <c r="EG359" s="32"/>
      <c r="EH359" s="32"/>
      <c r="EI359" s="32"/>
      <c r="EJ359" s="32"/>
      <c r="EK359" s="32"/>
      <c r="EL359" s="32"/>
      <c r="EM359" s="32"/>
      <c r="EN359" s="32"/>
      <c r="EO359" s="32"/>
      <c r="EP359" s="32"/>
      <c r="EQ359" s="32"/>
      <c r="ER359" s="32"/>
      <c r="ES359" s="32"/>
      <c r="ET359" s="32"/>
      <c r="EU359" s="32"/>
      <c r="EV359" s="32"/>
      <c r="EW359" s="32"/>
      <c r="EX359" s="32"/>
      <c r="EY359" s="32"/>
      <c r="EZ359" s="32"/>
      <c r="FA359" s="32"/>
      <c r="FB359" s="32"/>
      <c r="FC359" s="32"/>
      <c r="FD359" s="32"/>
      <c r="FE359" s="32"/>
      <c r="FF359" s="32"/>
      <c r="FG359" s="32"/>
      <c r="FH359" s="32"/>
      <c r="FI359" s="32"/>
      <c r="FJ359" s="32"/>
      <c r="FK359" s="32"/>
      <c r="FL359" s="32"/>
      <c r="FM359" s="32"/>
      <c r="FN359" s="32"/>
      <c r="FO359" s="32"/>
      <c r="FP359" s="32"/>
      <c r="FQ359" s="32"/>
      <c r="FR359" s="32"/>
      <c r="FS359" s="32"/>
      <c r="FT359" s="32"/>
      <c r="FU359" s="32"/>
      <c r="FV359" s="32"/>
      <c r="FW359" s="32"/>
      <c r="FX359" s="32"/>
      <c r="FY359" s="32"/>
      <c r="FZ359" s="32"/>
      <c r="GA359" s="32"/>
      <c r="GB359" s="32"/>
      <c r="GC359" s="32"/>
      <c r="GD359" s="32"/>
      <c r="GE359" s="32"/>
      <c r="GF359" s="32"/>
      <c r="GG359" s="32"/>
      <c r="GH359" s="32"/>
      <c r="GI359" s="32"/>
      <c r="GJ359" s="32"/>
      <c r="GK359" s="32"/>
      <c r="GL359" s="32"/>
      <c r="GM359" s="32"/>
      <c r="GN359" s="32"/>
      <c r="GO359" s="32"/>
      <c r="GP359" s="32"/>
      <c r="GQ359" s="32"/>
      <c r="GR359" s="32"/>
      <c r="GS359" s="32"/>
      <c r="GT359" s="32"/>
      <c r="GU359" s="32"/>
      <c r="GV359" s="32"/>
      <c r="GW359" s="32"/>
      <c r="GX359" s="32"/>
      <c r="GY359" s="32"/>
      <c r="GZ359" s="32"/>
      <c r="HA359" s="32"/>
      <c r="HB359" s="32"/>
      <c r="HC359" s="32"/>
      <c r="HD359" s="32"/>
      <c r="HE359" s="32"/>
      <c r="HF359" s="32"/>
      <c r="HG359" s="32"/>
      <c r="HH359" s="32"/>
      <c r="HI359" s="32"/>
      <c r="HJ359" s="32"/>
      <c r="HK359" s="32"/>
      <c r="HL359" s="32"/>
      <c r="HM359" s="32"/>
      <c r="HN359" s="32"/>
      <c r="HO359" s="32"/>
      <c r="HP359" s="32"/>
    </row>
    <row r="360" spans="2:224" x14ac:dyDescent="0.5">
      <c r="B360" s="174">
        <v>6</v>
      </c>
      <c r="C360" s="176" t="s">
        <v>276</v>
      </c>
      <c r="G360" s="311">
        <f>G325+G242</f>
        <v>1262.5</v>
      </c>
      <c r="H360" s="32"/>
      <c r="I360" s="334"/>
      <c r="J360" s="32"/>
      <c r="L360" s="165"/>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c r="CK360" s="32"/>
      <c r="CL360" s="32"/>
      <c r="CM360" s="32"/>
      <c r="CN360" s="32"/>
      <c r="CO360" s="32"/>
      <c r="CP360" s="32"/>
      <c r="CQ360" s="32"/>
      <c r="CR360" s="32"/>
      <c r="CS360" s="32"/>
      <c r="CT360" s="32"/>
      <c r="CU360" s="32"/>
      <c r="CV360" s="32"/>
      <c r="CW360" s="32"/>
      <c r="CX360" s="32"/>
      <c r="CY360" s="32"/>
      <c r="CZ360" s="32"/>
      <c r="DA360" s="32"/>
      <c r="DB360" s="32"/>
      <c r="DC360" s="32"/>
      <c r="DD360" s="32"/>
      <c r="DE360" s="32"/>
      <c r="DF360" s="32"/>
      <c r="DG360" s="32"/>
      <c r="DH360" s="32"/>
      <c r="DI360" s="32"/>
      <c r="DJ360" s="32"/>
      <c r="DK360" s="32"/>
      <c r="DL360" s="32"/>
      <c r="DM360" s="32"/>
      <c r="DN360" s="32"/>
      <c r="DO360" s="32"/>
      <c r="DP360" s="32"/>
      <c r="DQ360" s="32"/>
      <c r="DR360" s="32"/>
      <c r="DS360" s="32"/>
      <c r="DT360" s="32"/>
      <c r="DU360" s="32"/>
      <c r="DV360" s="32"/>
      <c r="DW360" s="32"/>
      <c r="DX360" s="32"/>
      <c r="DY360" s="32"/>
      <c r="DZ360" s="32"/>
      <c r="EA360" s="32"/>
      <c r="EB360" s="32"/>
      <c r="EC360" s="32"/>
      <c r="ED360" s="32"/>
      <c r="EE360" s="32"/>
      <c r="EF360" s="32"/>
      <c r="EG360" s="32"/>
      <c r="EH360" s="32"/>
      <c r="EI360" s="32"/>
      <c r="EJ360" s="32"/>
      <c r="EK360" s="32"/>
      <c r="EL360" s="32"/>
      <c r="EM360" s="32"/>
      <c r="EN360" s="32"/>
      <c r="EO360" s="32"/>
      <c r="EP360" s="32"/>
      <c r="EQ360" s="32"/>
      <c r="ER360" s="32"/>
      <c r="ES360" s="32"/>
      <c r="ET360" s="32"/>
      <c r="EU360" s="32"/>
      <c r="EV360" s="32"/>
      <c r="EW360" s="32"/>
      <c r="EX360" s="32"/>
      <c r="EY360" s="32"/>
      <c r="EZ360" s="32"/>
      <c r="FA360" s="32"/>
      <c r="FB360" s="32"/>
      <c r="FC360" s="32"/>
      <c r="FD360" s="32"/>
      <c r="FE360" s="32"/>
      <c r="FF360" s="32"/>
      <c r="FG360" s="32"/>
      <c r="FH360" s="32"/>
      <c r="FI360" s="32"/>
      <c r="FJ360" s="32"/>
      <c r="FK360" s="32"/>
      <c r="FL360" s="32"/>
      <c r="FM360" s="32"/>
      <c r="FN360" s="32"/>
      <c r="FO360" s="32"/>
      <c r="FP360" s="32"/>
      <c r="FQ360" s="32"/>
      <c r="FR360" s="32"/>
      <c r="FS360" s="32"/>
      <c r="FT360" s="32"/>
      <c r="FU360" s="32"/>
      <c r="FV360" s="32"/>
      <c r="FW360" s="32"/>
      <c r="FX360" s="32"/>
      <c r="FY360" s="32"/>
      <c r="FZ360" s="32"/>
      <c r="GA360" s="32"/>
      <c r="GB360" s="32"/>
      <c r="GC360" s="32"/>
      <c r="GD360" s="32"/>
      <c r="GE360" s="32"/>
      <c r="GF360" s="32"/>
      <c r="GG360" s="32"/>
      <c r="GH360" s="32"/>
      <c r="GI360" s="32"/>
      <c r="GJ360" s="32"/>
      <c r="GK360" s="32"/>
      <c r="GL360" s="32"/>
      <c r="GM360" s="32"/>
      <c r="GN360" s="32"/>
      <c r="GO360" s="32"/>
      <c r="GP360" s="32"/>
      <c r="GQ360" s="32"/>
      <c r="GR360" s="32"/>
      <c r="GS360" s="32"/>
      <c r="GT360" s="32"/>
      <c r="GU360" s="32"/>
      <c r="GV360" s="32"/>
      <c r="GW360" s="32"/>
      <c r="GX360" s="32"/>
      <c r="GY360" s="32"/>
      <c r="GZ360" s="32"/>
      <c r="HA360" s="32"/>
      <c r="HB360" s="32"/>
      <c r="HC360" s="32"/>
      <c r="HD360" s="32"/>
      <c r="HE360" s="32"/>
      <c r="HF360" s="32"/>
      <c r="HG360" s="32"/>
      <c r="HH360" s="32"/>
      <c r="HI360" s="32"/>
      <c r="HJ360" s="32"/>
      <c r="HK360" s="32"/>
      <c r="HL360" s="32"/>
      <c r="HM360" s="32"/>
      <c r="HN360" s="32"/>
      <c r="HO360" s="32"/>
      <c r="HP360" s="32"/>
    </row>
    <row r="361" spans="2:224" ht="18" thickBot="1" x14ac:dyDescent="0.55000000000000004">
      <c r="B361" s="174"/>
      <c r="G361" s="218"/>
      <c r="H361" s="32"/>
      <c r="I361" s="334"/>
      <c r="J361" s="32"/>
      <c r="L361" s="165"/>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c r="CK361" s="32"/>
      <c r="CL361" s="32"/>
      <c r="CM361" s="32"/>
      <c r="CN361" s="32"/>
      <c r="CO361" s="32"/>
      <c r="CP361" s="32"/>
      <c r="CQ361" s="32"/>
      <c r="CR361" s="32"/>
      <c r="CS361" s="32"/>
      <c r="CT361" s="32"/>
      <c r="CU361" s="32"/>
      <c r="CV361" s="32"/>
      <c r="CW361" s="32"/>
      <c r="CX361" s="32"/>
      <c r="CY361" s="32"/>
      <c r="CZ361" s="32"/>
      <c r="DA361" s="32"/>
      <c r="DB361" s="32"/>
      <c r="DC361" s="32"/>
      <c r="DD361" s="32"/>
      <c r="DE361" s="32"/>
      <c r="DF361" s="32"/>
      <c r="DG361" s="32"/>
      <c r="DH361" s="32"/>
      <c r="DI361" s="32"/>
      <c r="DJ361" s="32"/>
      <c r="DK361" s="32"/>
      <c r="DL361" s="32"/>
      <c r="DM361" s="32"/>
      <c r="DN361" s="32"/>
      <c r="DO361" s="32"/>
      <c r="DP361" s="32"/>
      <c r="DQ361" s="32"/>
      <c r="DR361" s="32"/>
      <c r="DS361" s="32"/>
      <c r="DT361" s="32"/>
      <c r="DU361" s="32"/>
      <c r="DV361" s="32"/>
      <c r="DW361" s="32"/>
      <c r="DX361" s="32"/>
      <c r="DY361" s="32"/>
      <c r="DZ361" s="32"/>
      <c r="EA361" s="32"/>
      <c r="EB361" s="32"/>
      <c r="EC361" s="32"/>
      <c r="ED361" s="32"/>
      <c r="EE361" s="32"/>
      <c r="EF361" s="32"/>
      <c r="EG361" s="32"/>
      <c r="EH361" s="32"/>
      <c r="EI361" s="32"/>
      <c r="EJ361" s="32"/>
      <c r="EK361" s="32"/>
      <c r="EL361" s="32"/>
      <c r="EM361" s="32"/>
      <c r="EN361" s="32"/>
      <c r="EO361" s="32"/>
      <c r="EP361" s="32"/>
      <c r="EQ361" s="32"/>
      <c r="ER361" s="32"/>
      <c r="ES361" s="32"/>
      <c r="ET361" s="32"/>
      <c r="EU361" s="32"/>
      <c r="EV361" s="32"/>
      <c r="EW361" s="32"/>
      <c r="EX361" s="32"/>
      <c r="EY361" s="32"/>
      <c r="EZ361" s="32"/>
      <c r="FA361" s="32"/>
      <c r="FB361" s="32"/>
      <c r="FC361" s="32"/>
      <c r="FD361" s="32"/>
      <c r="FE361" s="32"/>
      <c r="FF361" s="32"/>
      <c r="FG361" s="32"/>
      <c r="FH361" s="32"/>
      <c r="FI361" s="32"/>
      <c r="FJ361" s="32"/>
      <c r="FK361" s="32"/>
      <c r="FL361" s="32"/>
      <c r="FM361" s="32"/>
      <c r="FN361" s="32"/>
      <c r="FO361" s="32"/>
      <c r="FP361" s="32"/>
      <c r="FQ361" s="32"/>
      <c r="FR361" s="32"/>
      <c r="FS361" s="32"/>
      <c r="FT361" s="32"/>
      <c r="FU361" s="32"/>
      <c r="FV361" s="32"/>
      <c r="FW361" s="32"/>
      <c r="FX361" s="32"/>
      <c r="FY361" s="32"/>
      <c r="FZ361" s="32"/>
      <c r="GA361" s="32"/>
      <c r="GB361" s="32"/>
      <c r="GC361" s="32"/>
      <c r="GD361" s="32"/>
      <c r="GE361" s="32"/>
      <c r="GF361" s="32"/>
      <c r="GG361" s="32"/>
      <c r="GH361" s="32"/>
      <c r="GI361" s="32"/>
      <c r="GJ361" s="32"/>
      <c r="GK361" s="32"/>
      <c r="GL361" s="32"/>
      <c r="GM361" s="32"/>
      <c r="GN361" s="32"/>
      <c r="GO361" s="32"/>
      <c r="GP361" s="32"/>
      <c r="GQ361" s="32"/>
      <c r="GR361" s="32"/>
      <c r="GS361" s="32"/>
      <c r="GT361" s="32"/>
      <c r="GU361" s="32"/>
      <c r="GV361" s="32"/>
      <c r="GW361" s="32"/>
      <c r="GX361" s="32"/>
      <c r="GY361" s="32"/>
      <c r="GZ361" s="32"/>
      <c r="HA361" s="32"/>
      <c r="HB361" s="32"/>
      <c r="HC361" s="32"/>
      <c r="HD361" s="32"/>
      <c r="HE361" s="32"/>
      <c r="HF361" s="32"/>
      <c r="HG361" s="32"/>
      <c r="HH361" s="32"/>
      <c r="HI361" s="32"/>
      <c r="HJ361" s="32"/>
      <c r="HK361" s="32"/>
      <c r="HL361" s="32"/>
      <c r="HM361" s="32"/>
      <c r="HN361" s="32"/>
      <c r="HO361" s="32"/>
      <c r="HP361" s="32"/>
    </row>
    <row r="362" spans="2:224" x14ac:dyDescent="0.5">
      <c r="B362" s="177"/>
      <c r="C362" s="115"/>
      <c r="D362" s="116"/>
      <c r="E362" s="117"/>
      <c r="F362" s="118"/>
      <c r="G362" s="219"/>
      <c r="H362" s="32"/>
      <c r="I362" s="334"/>
      <c r="J362" s="32"/>
      <c r="L362" s="165"/>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c r="CK362" s="32"/>
      <c r="CL362" s="32"/>
      <c r="CM362" s="32"/>
      <c r="CN362" s="32"/>
      <c r="CO362" s="32"/>
      <c r="CP362" s="32"/>
      <c r="CQ362" s="32"/>
      <c r="CR362" s="32"/>
      <c r="CS362" s="32"/>
      <c r="CT362" s="32"/>
      <c r="CU362" s="32"/>
      <c r="CV362" s="32"/>
      <c r="CW362" s="32"/>
      <c r="CX362" s="32"/>
      <c r="CY362" s="32"/>
      <c r="CZ362" s="32"/>
      <c r="DA362" s="32"/>
      <c r="DB362" s="32"/>
      <c r="DC362" s="32"/>
      <c r="DD362" s="32"/>
      <c r="DE362" s="32"/>
      <c r="DF362" s="32"/>
      <c r="DG362" s="32"/>
      <c r="DH362" s="32"/>
      <c r="DI362" s="32"/>
      <c r="DJ362" s="32"/>
      <c r="DK362" s="32"/>
      <c r="DL362" s="32"/>
      <c r="DM362" s="32"/>
      <c r="DN362" s="32"/>
      <c r="DO362" s="32"/>
      <c r="DP362" s="32"/>
      <c r="DQ362" s="32"/>
      <c r="DR362" s="32"/>
      <c r="DS362" s="32"/>
      <c r="DT362" s="32"/>
      <c r="DU362" s="32"/>
      <c r="DV362" s="32"/>
      <c r="DW362" s="32"/>
      <c r="DX362" s="32"/>
      <c r="DY362" s="32"/>
      <c r="DZ362" s="32"/>
      <c r="EA362" s="32"/>
      <c r="EB362" s="32"/>
      <c r="EC362" s="32"/>
      <c r="ED362" s="32"/>
      <c r="EE362" s="32"/>
      <c r="EF362" s="32"/>
      <c r="EG362" s="32"/>
      <c r="EH362" s="32"/>
      <c r="EI362" s="32"/>
      <c r="EJ362" s="32"/>
      <c r="EK362" s="32"/>
      <c r="EL362" s="32"/>
      <c r="EM362" s="32"/>
      <c r="EN362" s="32"/>
      <c r="EO362" s="32"/>
      <c r="EP362" s="32"/>
      <c r="EQ362" s="32"/>
      <c r="ER362" s="32"/>
      <c r="ES362" s="32"/>
      <c r="ET362" s="32"/>
      <c r="EU362" s="32"/>
      <c r="EV362" s="32"/>
      <c r="EW362" s="32"/>
      <c r="EX362" s="32"/>
      <c r="EY362" s="32"/>
      <c r="EZ362" s="32"/>
      <c r="FA362" s="32"/>
      <c r="FB362" s="32"/>
      <c r="FC362" s="32"/>
      <c r="FD362" s="32"/>
      <c r="FE362" s="32"/>
      <c r="FF362" s="32"/>
      <c r="FG362" s="32"/>
      <c r="FH362" s="32"/>
      <c r="FI362" s="32"/>
      <c r="FJ362" s="32"/>
      <c r="FK362" s="32"/>
      <c r="FL362" s="32"/>
      <c r="FM362" s="32"/>
      <c r="FN362" s="32"/>
      <c r="FO362" s="32"/>
      <c r="FP362" s="32"/>
      <c r="FQ362" s="32"/>
      <c r="FR362" s="32"/>
      <c r="FS362" s="32"/>
      <c r="FT362" s="32"/>
      <c r="FU362" s="32"/>
      <c r="FV362" s="32"/>
      <c r="FW362" s="32"/>
      <c r="FX362" s="32"/>
      <c r="FY362" s="32"/>
      <c r="FZ362" s="32"/>
      <c r="GA362" s="32"/>
      <c r="GB362" s="32"/>
      <c r="GC362" s="32"/>
      <c r="GD362" s="32"/>
      <c r="GE362" s="32"/>
      <c r="GF362" s="32"/>
      <c r="GG362" s="32"/>
      <c r="GH362" s="32"/>
      <c r="GI362" s="32"/>
      <c r="GJ362" s="32"/>
      <c r="GK362" s="32"/>
      <c r="GL362" s="32"/>
      <c r="GM362" s="32"/>
      <c r="GN362" s="32"/>
      <c r="GO362" s="32"/>
      <c r="GP362" s="32"/>
      <c r="GQ362" s="32"/>
      <c r="GR362" s="32"/>
      <c r="GS362" s="32"/>
      <c r="GT362" s="32"/>
      <c r="GU362" s="32"/>
      <c r="GV362" s="32"/>
      <c r="GW362" s="32"/>
      <c r="GX362" s="32"/>
      <c r="GY362" s="32"/>
      <c r="GZ362" s="32"/>
      <c r="HA362" s="32"/>
      <c r="HB362" s="32"/>
      <c r="HC362" s="32"/>
      <c r="HD362" s="32"/>
      <c r="HE362" s="32"/>
      <c r="HF362" s="32"/>
      <c r="HG362" s="32"/>
      <c r="HH362" s="32"/>
      <c r="HI362" s="32"/>
      <c r="HJ362" s="32"/>
      <c r="HK362" s="32"/>
      <c r="HL362" s="32"/>
      <c r="HM362" s="32"/>
      <c r="HN362" s="32"/>
      <c r="HO362" s="32"/>
      <c r="HP362" s="32"/>
    </row>
    <row r="363" spans="2:224" ht="17.25" x14ac:dyDescent="0.45">
      <c r="B363" s="174"/>
      <c r="C363" s="141" t="s">
        <v>108</v>
      </c>
      <c r="F363" s="178"/>
      <c r="G363" s="311">
        <f>G360+G359+G358+G357+G356+G355</f>
        <v>37245.059058886785</v>
      </c>
      <c r="H363" s="32"/>
      <c r="I363" s="334"/>
      <c r="J363" s="32"/>
      <c r="L363" s="165"/>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c r="CK363" s="32"/>
      <c r="CL363" s="32"/>
      <c r="CM363" s="32"/>
      <c r="CN363" s="32"/>
      <c r="CO363" s="32"/>
      <c r="CP363" s="32"/>
      <c r="CQ363" s="32"/>
      <c r="CR363" s="32"/>
      <c r="CS363" s="32"/>
      <c r="CT363" s="32"/>
      <c r="CU363" s="32"/>
      <c r="CV363" s="32"/>
      <c r="CW363" s="32"/>
      <c r="CX363" s="32"/>
      <c r="CY363" s="32"/>
      <c r="CZ363" s="32"/>
      <c r="DA363" s="32"/>
      <c r="DB363" s="32"/>
      <c r="DC363" s="32"/>
      <c r="DD363" s="32"/>
      <c r="DE363" s="32"/>
      <c r="DF363" s="32"/>
      <c r="DG363" s="32"/>
      <c r="DH363" s="32"/>
      <c r="DI363" s="32"/>
      <c r="DJ363" s="32"/>
      <c r="DK363" s="32"/>
      <c r="DL363" s="32"/>
      <c r="DM363" s="32"/>
      <c r="DN363" s="32"/>
      <c r="DO363" s="32"/>
      <c r="DP363" s="32"/>
      <c r="DQ363" s="32"/>
      <c r="DR363" s="32"/>
      <c r="DS363" s="32"/>
      <c r="DT363" s="32"/>
      <c r="DU363" s="32"/>
      <c r="DV363" s="32"/>
      <c r="DW363" s="32"/>
      <c r="DX363" s="32"/>
      <c r="DY363" s="32"/>
      <c r="DZ363" s="32"/>
      <c r="EA363" s="32"/>
      <c r="EB363" s="32"/>
      <c r="EC363" s="32"/>
      <c r="ED363" s="32"/>
      <c r="EE363" s="32"/>
      <c r="EF363" s="32"/>
      <c r="EG363" s="32"/>
      <c r="EH363" s="32"/>
      <c r="EI363" s="32"/>
      <c r="EJ363" s="32"/>
      <c r="EK363" s="32"/>
      <c r="EL363" s="32"/>
      <c r="EM363" s="32"/>
      <c r="EN363" s="32"/>
      <c r="EO363" s="32"/>
      <c r="EP363" s="32"/>
      <c r="EQ363" s="32"/>
      <c r="ER363" s="32"/>
      <c r="ES363" s="32"/>
      <c r="ET363" s="32"/>
      <c r="EU363" s="32"/>
      <c r="EV363" s="32"/>
      <c r="EW363" s="32"/>
      <c r="EX363" s="32"/>
      <c r="EY363" s="32"/>
      <c r="EZ363" s="32"/>
      <c r="FA363" s="32"/>
      <c r="FB363" s="32"/>
      <c r="FC363" s="32"/>
      <c r="FD363" s="32"/>
      <c r="FE363" s="32"/>
      <c r="FF363" s="32"/>
      <c r="FG363" s="32"/>
      <c r="FH363" s="32"/>
      <c r="FI363" s="32"/>
      <c r="FJ363" s="32"/>
      <c r="FK363" s="32"/>
      <c r="FL363" s="32"/>
      <c r="FM363" s="32"/>
      <c r="FN363" s="32"/>
      <c r="FO363" s="32"/>
      <c r="FP363" s="32"/>
      <c r="FQ363" s="32"/>
      <c r="FR363" s="32"/>
      <c r="FS363" s="32"/>
      <c r="FT363" s="32"/>
      <c r="FU363" s="32"/>
      <c r="FV363" s="32"/>
      <c r="FW363" s="32"/>
      <c r="FX363" s="32"/>
      <c r="FY363" s="32"/>
      <c r="FZ363" s="32"/>
      <c r="GA363" s="32"/>
      <c r="GB363" s="32"/>
      <c r="GC363" s="32"/>
      <c r="GD363" s="32"/>
      <c r="GE363" s="32"/>
      <c r="GF363" s="32"/>
      <c r="GG363" s="32"/>
      <c r="GH363" s="32"/>
      <c r="GI363" s="32"/>
      <c r="GJ363" s="32"/>
      <c r="GK363" s="32"/>
      <c r="GL363" s="32"/>
      <c r="GM363" s="32"/>
      <c r="GN363" s="32"/>
      <c r="GO363" s="32"/>
      <c r="GP363" s="32"/>
      <c r="GQ363" s="32"/>
      <c r="GR363" s="32"/>
      <c r="GS363" s="32"/>
      <c r="GT363" s="32"/>
      <c r="GU363" s="32"/>
      <c r="GV363" s="32"/>
      <c r="GW363" s="32"/>
      <c r="GX363" s="32"/>
      <c r="GY363" s="32"/>
      <c r="GZ363" s="32"/>
      <c r="HA363" s="32"/>
      <c r="HB363" s="32"/>
      <c r="HC363" s="32"/>
      <c r="HD363" s="32"/>
      <c r="HE363" s="32"/>
      <c r="HF363" s="32"/>
      <c r="HG363" s="32"/>
      <c r="HH363" s="32"/>
      <c r="HI363" s="32"/>
      <c r="HJ363" s="32"/>
      <c r="HK363" s="32"/>
      <c r="HL363" s="32"/>
      <c r="HM363" s="32"/>
      <c r="HN363" s="32"/>
      <c r="HO363" s="32"/>
      <c r="HP363" s="32"/>
    </row>
    <row r="364" spans="2:224" x14ac:dyDescent="0.5">
      <c r="B364" s="174"/>
      <c r="C364" s="30" t="s">
        <v>109</v>
      </c>
      <c r="G364" s="218">
        <f>2%*G363</f>
        <v>744.90118117773568</v>
      </c>
      <c r="H364" s="32"/>
      <c r="I364" s="334"/>
      <c r="J364" s="125"/>
      <c r="L364" s="165"/>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c r="CK364" s="32"/>
      <c r="CL364" s="32"/>
      <c r="CM364" s="32"/>
      <c r="CN364" s="32"/>
      <c r="CO364" s="32"/>
      <c r="CP364" s="32"/>
      <c r="CQ364" s="32"/>
      <c r="CR364" s="32"/>
      <c r="CS364" s="32"/>
      <c r="CT364" s="32"/>
      <c r="CU364" s="32"/>
      <c r="CV364" s="32"/>
      <c r="CW364" s="32"/>
      <c r="CX364" s="32"/>
      <c r="CY364" s="32"/>
      <c r="CZ364" s="32"/>
      <c r="DA364" s="32"/>
      <c r="DB364" s="32"/>
      <c r="DC364" s="32"/>
      <c r="DD364" s="32"/>
      <c r="DE364" s="32"/>
      <c r="DF364" s="32"/>
      <c r="DG364" s="32"/>
      <c r="DH364" s="32"/>
      <c r="DI364" s="32"/>
      <c r="DJ364" s="32"/>
      <c r="DK364" s="32"/>
      <c r="DL364" s="32"/>
      <c r="DM364" s="32"/>
      <c r="DN364" s="32"/>
      <c r="DO364" s="32"/>
      <c r="DP364" s="32"/>
      <c r="DQ364" s="32"/>
      <c r="DR364" s="32"/>
      <c r="DS364" s="32"/>
      <c r="DT364" s="32"/>
      <c r="DU364" s="32"/>
      <c r="DV364" s="32"/>
      <c r="DW364" s="32"/>
      <c r="DX364" s="32"/>
      <c r="DY364" s="32"/>
      <c r="DZ364" s="32"/>
      <c r="EA364" s="32"/>
      <c r="EB364" s="32"/>
      <c r="EC364" s="32"/>
      <c r="ED364" s="32"/>
      <c r="EE364" s="32"/>
      <c r="EF364" s="32"/>
      <c r="EG364" s="32"/>
      <c r="EH364" s="32"/>
      <c r="EI364" s="32"/>
      <c r="EJ364" s="32"/>
      <c r="EK364" s="32"/>
      <c r="EL364" s="32"/>
      <c r="EM364" s="32"/>
      <c r="EN364" s="32"/>
      <c r="EO364" s="32"/>
      <c r="EP364" s="32"/>
      <c r="EQ364" s="32"/>
      <c r="ER364" s="32"/>
      <c r="ES364" s="32"/>
      <c r="ET364" s="32"/>
      <c r="EU364" s="32"/>
      <c r="EV364" s="32"/>
      <c r="EW364" s="32"/>
      <c r="EX364" s="32"/>
      <c r="EY364" s="32"/>
      <c r="EZ364" s="32"/>
      <c r="FA364" s="32"/>
      <c r="FB364" s="32"/>
      <c r="FC364" s="32"/>
      <c r="FD364" s="32"/>
      <c r="FE364" s="32"/>
      <c r="FF364" s="32"/>
      <c r="FG364" s="32"/>
      <c r="FH364" s="32"/>
      <c r="FI364" s="32"/>
      <c r="FJ364" s="32"/>
      <c r="FK364" s="32"/>
      <c r="FL364" s="32"/>
      <c r="FM364" s="32"/>
      <c r="FN364" s="32"/>
      <c r="FO364" s="32"/>
      <c r="FP364" s="32"/>
      <c r="FQ364" s="32"/>
      <c r="FR364" s="32"/>
      <c r="FS364" s="32"/>
      <c r="FT364" s="32"/>
      <c r="FU364" s="32"/>
      <c r="FV364" s="32"/>
      <c r="FW364" s="32"/>
      <c r="FX364" s="32"/>
      <c r="FY364" s="32"/>
      <c r="FZ364" s="32"/>
      <c r="GA364" s="32"/>
      <c r="GB364" s="32"/>
      <c r="GC364" s="32"/>
      <c r="GD364" s="32"/>
      <c r="GE364" s="32"/>
      <c r="GF364" s="32"/>
      <c r="GG364" s="32"/>
      <c r="GH364" s="32"/>
      <c r="GI364" s="32"/>
      <c r="GJ364" s="32"/>
      <c r="GK364" s="32"/>
      <c r="GL364" s="32"/>
      <c r="GM364" s="32"/>
      <c r="GN364" s="32"/>
      <c r="GO364" s="32"/>
      <c r="GP364" s="32"/>
      <c r="GQ364" s="32"/>
      <c r="GR364" s="32"/>
      <c r="GS364" s="32"/>
      <c r="GT364" s="32"/>
      <c r="GU364" s="32"/>
      <c r="GV364" s="32"/>
      <c r="GW364" s="32"/>
      <c r="GX364" s="32"/>
      <c r="GY364" s="32"/>
      <c r="GZ364" s="32"/>
      <c r="HA364" s="32"/>
      <c r="HB364" s="32"/>
      <c r="HC364" s="32"/>
      <c r="HD364" s="32"/>
      <c r="HE364" s="32"/>
      <c r="HF364" s="32"/>
      <c r="HG364" s="32"/>
      <c r="HH364" s="32"/>
      <c r="HI364" s="32"/>
      <c r="HJ364" s="32"/>
      <c r="HK364" s="32"/>
      <c r="HL364" s="32"/>
      <c r="HM364" s="32"/>
      <c r="HN364" s="32"/>
      <c r="HO364" s="32"/>
      <c r="HP364" s="32"/>
    </row>
    <row r="365" spans="2:224" ht="18" thickBot="1" x14ac:dyDescent="0.55000000000000004">
      <c r="B365" s="174"/>
      <c r="C365" s="30" t="s">
        <v>110</v>
      </c>
      <c r="G365" s="218">
        <f>10%*G364</f>
        <v>74.490118117773577</v>
      </c>
      <c r="H365" s="32"/>
      <c r="I365" s="334"/>
      <c r="J365" s="125"/>
      <c r="L365" s="324"/>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c r="CK365" s="32"/>
      <c r="CL365" s="32"/>
      <c r="CM365" s="32"/>
      <c r="CN365" s="32"/>
      <c r="CO365" s="32"/>
      <c r="CP365" s="32"/>
      <c r="CQ365" s="32"/>
      <c r="CR365" s="32"/>
      <c r="CS365" s="32"/>
      <c r="CT365" s="32"/>
      <c r="CU365" s="32"/>
      <c r="CV365" s="32"/>
      <c r="CW365" s="32"/>
      <c r="CX365" s="32"/>
      <c r="CY365" s="32"/>
      <c r="CZ365" s="32"/>
      <c r="DA365" s="32"/>
      <c r="DB365" s="32"/>
      <c r="DC365" s="32"/>
      <c r="DD365" s="32"/>
      <c r="DE365" s="32"/>
      <c r="DF365" s="32"/>
      <c r="DG365" s="32"/>
      <c r="DH365" s="32"/>
      <c r="DI365" s="32"/>
      <c r="DJ365" s="32"/>
      <c r="DK365" s="32"/>
      <c r="DL365" s="32"/>
      <c r="DM365" s="32"/>
      <c r="DN365" s="32"/>
      <c r="DO365" s="32"/>
      <c r="DP365" s="32"/>
      <c r="DQ365" s="32"/>
      <c r="DR365" s="32"/>
      <c r="DS365" s="32"/>
      <c r="DT365" s="32"/>
      <c r="DU365" s="32"/>
      <c r="DV365" s="32"/>
      <c r="DW365" s="32"/>
      <c r="DX365" s="32"/>
      <c r="DY365" s="32"/>
      <c r="DZ365" s="32"/>
      <c r="EA365" s="32"/>
      <c r="EB365" s="32"/>
      <c r="EC365" s="32"/>
      <c r="ED365" s="32"/>
      <c r="EE365" s="32"/>
      <c r="EF365" s="32"/>
      <c r="EG365" s="32"/>
      <c r="EH365" s="32"/>
      <c r="EI365" s="32"/>
      <c r="EJ365" s="32"/>
      <c r="EK365" s="32"/>
      <c r="EL365" s="32"/>
      <c r="EM365" s="32"/>
      <c r="EN365" s="32"/>
      <c r="EO365" s="32"/>
      <c r="EP365" s="32"/>
      <c r="EQ365" s="32"/>
      <c r="ER365" s="32"/>
      <c r="ES365" s="32"/>
      <c r="ET365" s="32"/>
      <c r="EU365" s="32"/>
      <c r="EV365" s="32"/>
      <c r="EW365" s="32"/>
      <c r="EX365" s="32"/>
      <c r="EY365" s="32"/>
      <c r="EZ365" s="32"/>
      <c r="FA365" s="32"/>
      <c r="FB365" s="32"/>
      <c r="FC365" s="32"/>
      <c r="FD365" s="32"/>
      <c r="FE365" s="32"/>
      <c r="FF365" s="32"/>
      <c r="FG365" s="32"/>
      <c r="FH365" s="32"/>
      <c r="FI365" s="32"/>
      <c r="FJ365" s="32"/>
      <c r="FK365" s="32"/>
      <c r="FL365" s="32"/>
      <c r="FM365" s="32"/>
      <c r="FN365" s="32"/>
      <c r="FO365" s="32"/>
      <c r="FP365" s="32"/>
      <c r="FQ365" s="32"/>
      <c r="FR365" s="32"/>
      <c r="FS365" s="32"/>
      <c r="FT365" s="32"/>
      <c r="FU365" s="32"/>
      <c r="FV365" s="32"/>
      <c r="FW365" s="32"/>
      <c r="FX365" s="32"/>
      <c r="FY365" s="32"/>
      <c r="FZ365" s="32"/>
      <c r="GA365" s="32"/>
      <c r="GB365" s="32"/>
      <c r="GC365" s="32"/>
      <c r="GD365" s="32"/>
      <c r="GE365" s="32"/>
      <c r="GF365" s="32"/>
      <c r="GG365" s="32"/>
      <c r="GH365" s="32"/>
      <c r="GI365" s="32"/>
      <c r="GJ365" s="32"/>
      <c r="GK365" s="32"/>
      <c r="GL365" s="32"/>
      <c r="GM365" s="32"/>
      <c r="GN365" s="32"/>
      <c r="GO365" s="32"/>
      <c r="GP365" s="32"/>
      <c r="GQ365" s="32"/>
      <c r="GR365" s="32"/>
      <c r="GS365" s="32"/>
      <c r="GT365" s="32"/>
      <c r="GU365" s="32"/>
      <c r="GV365" s="32"/>
      <c r="GW365" s="32"/>
      <c r="GX365" s="32"/>
      <c r="GY365" s="32"/>
      <c r="GZ365" s="32"/>
      <c r="HA365" s="32"/>
      <c r="HB365" s="32"/>
      <c r="HC365" s="32"/>
      <c r="HD365" s="32"/>
      <c r="HE365" s="32"/>
      <c r="HF365" s="32"/>
      <c r="HG365" s="32"/>
      <c r="HH365" s="32"/>
      <c r="HI365" s="32"/>
      <c r="HJ365" s="32"/>
      <c r="HK365" s="32"/>
      <c r="HL365" s="32"/>
      <c r="HM365" s="32"/>
      <c r="HN365" s="32"/>
      <c r="HO365" s="32"/>
      <c r="HP365" s="32"/>
    </row>
    <row r="366" spans="2:224" thickBot="1" x14ac:dyDescent="0.5">
      <c r="B366" s="179"/>
      <c r="C366" s="119" t="s">
        <v>111</v>
      </c>
      <c r="D366" s="120"/>
      <c r="E366" s="121"/>
      <c r="F366" s="122"/>
      <c r="G366" s="310">
        <f>SUM(G363:G365)</f>
        <v>38064.450358182294</v>
      </c>
      <c r="H366" s="32"/>
      <c r="I366" s="334"/>
      <c r="J366" s="125"/>
      <c r="L366" s="324"/>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c r="CK366" s="32"/>
      <c r="CL366" s="32"/>
      <c r="CM366" s="32"/>
      <c r="CN366" s="32"/>
      <c r="CO366" s="32"/>
      <c r="CP366" s="32"/>
      <c r="CQ366" s="32"/>
      <c r="CR366" s="32"/>
      <c r="CS366" s="32"/>
      <c r="CT366" s="32"/>
      <c r="CU366" s="32"/>
      <c r="CV366" s="32"/>
      <c r="CW366" s="32"/>
      <c r="CX366" s="32"/>
      <c r="CY366" s="32"/>
      <c r="CZ366" s="32"/>
      <c r="DA366" s="32"/>
      <c r="DB366" s="32"/>
      <c r="DC366" s="32"/>
      <c r="DD366" s="32"/>
      <c r="DE366" s="32"/>
      <c r="DF366" s="32"/>
      <c r="DG366" s="32"/>
      <c r="DH366" s="32"/>
      <c r="DI366" s="32"/>
      <c r="DJ366" s="32"/>
      <c r="DK366" s="32"/>
      <c r="DL366" s="32"/>
      <c r="DM366" s="32"/>
      <c r="DN366" s="32"/>
      <c r="DO366" s="32"/>
      <c r="DP366" s="32"/>
      <c r="DQ366" s="32"/>
      <c r="DR366" s="32"/>
      <c r="DS366" s="32"/>
      <c r="DT366" s="32"/>
      <c r="DU366" s="32"/>
      <c r="DV366" s="32"/>
      <c r="DW366" s="32"/>
      <c r="DX366" s="32"/>
      <c r="DY366" s="32"/>
      <c r="DZ366" s="32"/>
      <c r="EA366" s="32"/>
      <c r="EB366" s="32"/>
      <c r="EC366" s="32"/>
      <c r="ED366" s="32"/>
      <c r="EE366" s="32"/>
      <c r="EF366" s="32"/>
      <c r="EG366" s="32"/>
      <c r="EH366" s="32"/>
      <c r="EI366" s="32"/>
      <c r="EJ366" s="32"/>
      <c r="EK366" s="32"/>
      <c r="EL366" s="32"/>
      <c r="EM366" s="32"/>
      <c r="EN366" s="32"/>
      <c r="EO366" s="32"/>
      <c r="EP366" s="32"/>
      <c r="EQ366" s="32"/>
      <c r="ER366" s="32"/>
      <c r="ES366" s="32"/>
      <c r="ET366" s="32"/>
      <c r="EU366" s="32"/>
      <c r="EV366" s="32"/>
      <c r="EW366" s="32"/>
      <c r="EX366" s="32"/>
      <c r="EY366" s="32"/>
      <c r="EZ366" s="32"/>
      <c r="FA366" s="32"/>
      <c r="FB366" s="32"/>
      <c r="FC366" s="32"/>
      <c r="FD366" s="32"/>
      <c r="FE366" s="32"/>
      <c r="FF366" s="32"/>
      <c r="FG366" s="32"/>
      <c r="FH366" s="32"/>
      <c r="FI366" s="32"/>
      <c r="FJ366" s="32"/>
      <c r="FK366" s="32"/>
      <c r="FL366" s="32"/>
      <c r="FM366" s="32"/>
      <c r="FN366" s="32"/>
      <c r="FO366" s="32"/>
      <c r="FP366" s="32"/>
      <c r="FQ366" s="32"/>
      <c r="FR366" s="32"/>
      <c r="FS366" s="32"/>
      <c r="FT366" s="32"/>
      <c r="FU366" s="32"/>
      <c r="FV366" s="32"/>
      <c r="FW366" s="32"/>
      <c r="FX366" s="32"/>
      <c r="FY366" s="32"/>
      <c r="FZ366" s="32"/>
      <c r="GA366" s="32"/>
      <c r="GB366" s="32"/>
      <c r="GC366" s="32"/>
      <c r="GD366" s="32"/>
      <c r="GE366" s="32"/>
      <c r="GF366" s="32"/>
      <c r="GG366" s="32"/>
      <c r="GH366" s="32"/>
      <c r="GI366" s="32"/>
      <c r="GJ366" s="32"/>
      <c r="GK366" s="32"/>
      <c r="GL366" s="32"/>
      <c r="GM366" s="32"/>
      <c r="GN366" s="32"/>
      <c r="GO366" s="32"/>
      <c r="GP366" s="32"/>
      <c r="GQ366" s="32"/>
      <c r="GR366" s="32"/>
      <c r="GS366" s="32"/>
      <c r="GT366" s="32"/>
      <c r="GU366" s="32"/>
      <c r="GV366" s="32"/>
      <c r="GW366" s="32"/>
      <c r="GX366" s="32"/>
      <c r="GY366" s="32"/>
      <c r="GZ366" s="32"/>
      <c r="HA366" s="32"/>
      <c r="HB366" s="32"/>
      <c r="HC366" s="32"/>
      <c r="HD366" s="32"/>
      <c r="HE366" s="32"/>
      <c r="HF366" s="32"/>
      <c r="HG366" s="32"/>
      <c r="HH366" s="32"/>
      <c r="HI366" s="32"/>
      <c r="HJ366" s="32"/>
      <c r="HK366" s="32"/>
      <c r="HL366" s="32"/>
      <c r="HM366" s="32"/>
      <c r="HN366" s="32"/>
      <c r="HO366" s="32"/>
      <c r="HP366" s="32"/>
    </row>
    <row r="367" spans="2:224" ht="17.25" x14ac:dyDescent="0.45">
      <c r="B367" s="131"/>
      <c r="C367" s="141"/>
      <c r="G367" s="195"/>
      <c r="H367" s="32"/>
      <c r="I367" s="334"/>
      <c r="J367" s="125"/>
      <c r="L367" s="324"/>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c r="CK367" s="32"/>
      <c r="CL367" s="32"/>
      <c r="CM367" s="32"/>
      <c r="CN367" s="32"/>
      <c r="CO367" s="32"/>
      <c r="CP367" s="32"/>
      <c r="CQ367" s="32"/>
      <c r="CR367" s="32"/>
      <c r="CS367" s="32"/>
      <c r="CT367" s="32"/>
      <c r="CU367" s="32"/>
      <c r="CV367" s="32"/>
      <c r="CW367" s="32"/>
      <c r="CX367" s="32"/>
      <c r="CY367" s="32"/>
      <c r="CZ367" s="32"/>
      <c r="DA367" s="32"/>
      <c r="DB367" s="32"/>
      <c r="DC367" s="32"/>
      <c r="DD367" s="32"/>
      <c r="DE367" s="32"/>
      <c r="DF367" s="32"/>
      <c r="DG367" s="32"/>
      <c r="DH367" s="32"/>
      <c r="DI367" s="32"/>
      <c r="DJ367" s="32"/>
      <c r="DK367" s="32"/>
      <c r="DL367" s="32"/>
      <c r="DM367" s="32"/>
      <c r="DN367" s="32"/>
      <c r="DO367" s="32"/>
      <c r="DP367" s="32"/>
      <c r="DQ367" s="32"/>
      <c r="DR367" s="32"/>
      <c r="DS367" s="32"/>
      <c r="DT367" s="32"/>
      <c r="DU367" s="32"/>
      <c r="DV367" s="32"/>
      <c r="DW367" s="32"/>
      <c r="DX367" s="32"/>
      <c r="DY367" s="32"/>
      <c r="DZ367" s="32"/>
      <c r="EA367" s="32"/>
      <c r="EB367" s="32"/>
      <c r="EC367" s="32"/>
      <c r="ED367" s="32"/>
      <c r="EE367" s="32"/>
      <c r="EF367" s="32"/>
      <c r="EG367" s="32"/>
      <c r="EH367" s="32"/>
      <c r="EI367" s="32"/>
      <c r="EJ367" s="32"/>
      <c r="EK367" s="32"/>
      <c r="EL367" s="32"/>
      <c r="EM367" s="32"/>
      <c r="EN367" s="32"/>
      <c r="EO367" s="32"/>
      <c r="EP367" s="32"/>
      <c r="EQ367" s="32"/>
      <c r="ER367" s="32"/>
      <c r="ES367" s="32"/>
      <c r="ET367" s="32"/>
      <c r="EU367" s="32"/>
      <c r="EV367" s="32"/>
      <c r="EW367" s="32"/>
      <c r="EX367" s="32"/>
      <c r="EY367" s="32"/>
      <c r="EZ367" s="32"/>
      <c r="FA367" s="32"/>
      <c r="FB367" s="32"/>
      <c r="FC367" s="32"/>
      <c r="FD367" s="32"/>
      <c r="FE367" s="32"/>
      <c r="FF367" s="32"/>
      <c r="FG367" s="32"/>
      <c r="FH367" s="32"/>
      <c r="FI367" s="32"/>
      <c r="FJ367" s="32"/>
      <c r="FK367" s="32"/>
      <c r="FL367" s="32"/>
      <c r="FM367" s="32"/>
      <c r="FN367" s="32"/>
      <c r="FO367" s="32"/>
      <c r="FP367" s="32"/>
      <c r="FQ367" s="32"/>
      <c r="FR367" s="32"/>
      <c r="FS367" s="32"/>
      <c r="FT367" s="32"/>
      <c r="FU367" s="32"/>
      <c r="FV367" s="32"/>
      <c r="FW367" s="32"/>
      <c r="FX367" s="32"/>
      <c r="FY367" s="32"/>
      <c r="FZ367" s="32"/>
      <c r="GA367" s="32"/>
      <c r="GB367" s="32"/>
      <c r="GC367" s="32"/>
      <c r="GD367" s="32"/>
      <c r="GE367" s="32"/>
      <c r="GF367" s="32"/>
      <c r="GG367" s="32"/>
      <c r="GH367" s="32"/>
      <c r="GI367" s="32"/>
      <c r="GJ367" s="32"/>
      <c r="GK367" s="32"/>
      <c r="GL367" s="32"/>
      <c r="GM367" s="32"/>
      <c r="GN367" s="32"/>
      <c r="GO367" s="32"/>
      <c r="GP367" s="32"/>
      <c r="GQ367" s="32"/>
      <c r="GR367" s="32"/>
      <c r="GS367" s="32"/>
      <c r="GT367" s="32"/>
      <c r="GU367" s="32"/>
      <c r="GV367" s="32"/>
      <c r="GW367" s="32"/>
      <c r="GX367" s="32"/>
      <c r="GY367" s="32"/>
      <c r="GZ367" s="32"/>
      <c r="HA367" s="32"/>
      <c r="HB367" s="32"/>
      <c r="HC367" s="32"/>
      <c r="HD367" s="32"/>
      <c r="HE367" s="32"/>
      <c r="HF367" s="32"/>
      <c r="HG367" s="32"/>
      <c r="HH367" s="32"/>
      <c r="HI367" s="32"/>
      <c r="HJ367" s="32"/>
      <c r="HK367" s="32"/>
      <c r="HL367" s="32"/>
      <c r="HM367" s="32"/>
      <c r="HN367" s="32"/>
      <c r="HO367" s="32"/>
      <c r="HP367" s="32"/>
    </row>
    <row r="368" spans="2:224" ht="17.25" x14ac:dyDescent="0.45">
      <c r="B368" s="131"/>
      <c r="C368" s="141"/>
      <c r="G368" s="195"/>
      <c r="H368" s="32"/>
      <c r="I368" s="334"/>
      <c r="J368" s="125"/>
      <c r="L368" s="165"/>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c r="CD368" s="32"/>
      <c r="CE368" s="32"/>
      <c r="CF368" s="32"/>
      <c r="CG368" s="32"/>
      <c r="CH368" s="32"/>
      <c r="CI368" s="32"/>
      <c r="CJ368" s="32"/>
      <c r="CK368" s="32"/>
      <c r="CL368" s="32"/>
      <c r="CM368" s="32"/>
      <c r="CN368" s="32"/>
      <c r="CO368" s="32"/>
      <c r="CP368" s="32"/>
      <c r="CQ368" s="32"/>
      <c r="CR368" s="32"/>
      <c r="CS368" s="32"/>
      <c r="CT368" s="32"/>
      <c r="CU368" s="32"/>
      <c r="CV368" s="32"/>
      <c r="CW368" s="32"/>
      <c r="CX368" s="32"/>
      <c r="CY368" s="32"/>
      <c r="CZ368" s="32"/>
      <c r="DA368" s="32"/>
      <c r="DB368" s="32"/>
      <c r="DC368" s="32"/>
      <c r="DD368" s="32"/>
      <c r="DE368" s="32"/>
      <c r="DF368" s="32"/>
      <c r="DG368" s="32"/>
      <c r="DH368" s="32"/>
      <c r="DI368" s="32"/>
      <c r="DJ368" s="32"/>
      <c r="DK368" s="32"/>
      <c r="DL368" s="32"/>
      <c r="DM368" s="32"/>
      <c r="DN368" s="32"/>
      <c r="DO368" s="32"/>
      <c r="DP368" s="32"/>
      <c r="DQ368" s="32"/>
      <c r="DR368" s="32"/>
      <c r="DS368" s="32"/>
      <c r="DT368" s="32"/>
      <c r="DU368" s="32"/>
      <c r="DV368" s="32"/>
      <c r="DW368" s="32"/>
      <c r="DX368" s="32"/>
      <c r="DY368" s="32"/>
      <c r="DZ368" s="32"/>
      <c r="EA368" s="32"/>
      <c r="EB368" s="32"/>
      <c r="EC368" s="32"/>
      <c r="ED368" s="32"/>
      <c r="EE368" s="32"/>
      <c r="EF368" s="32"/>
      <c r="EG368" s="32"/>
      <c r="EH368" s="32"/>
      <c r="EI368" s="32"/>
      <c r="EJ368" s="32"/>
      <c r="EK368" s="32"/>
      <c r="EL368" s="32"/>
      <c r="EM368" s="32"/>
      <c r="EN368" s="32"/>
      <c r="EO368" s="32"/>
      <c r="EP368" s="32"/>
      <c r="EQ368" s="32"/>
      <c r="ER368" s="32"/>
      <c r="ES368" s="32"/>
      <c r="ET368" s="32"/>
      <c r="EU368" s="32"/>
      <c r="EV368" s="32"/>
      <c r="EW368" s="32"/>
      <c r="EX368" s="32"/>
      <c r="EY368" s="32"/>
      <c r="EZ368" s="32"/>
      <c r="FA368" s="32"/>
      <c r="FB368" s="32"/>
      <c r="FC368" s="32"/>
      <c r="FD368" s="32"/>
      <c r="FE368" s="32"/>
      <c r="FF368" s="32"/>
      <c r="FG368" s="32"/>
      <c r="FH368" s="32"/>
      <c r="FI368" s="32"/>
      <c r="FJ368" s="32"/>
      <c r="FK368" s="32"/>
      <c r="FL368" s="32"/>
      <c r="FM368" s="32"/>
      <c r="FN368" s="32"/>
      <c r="FO368" s="32"/>
      <c r="FP368" s="32"/>
      <c r="FQ368" s="32"/>
      <c r="FR368" s="32"/>
      <c r="FS368" s="32"/>
      <c r="FT368" s="32"/>
      <c r="FU368" s="32"/>
      <c r="FV368" s="32"/>
      <c r="FW368" s="32"/>
      <c r="FX368" s="32"/>
      <c r="FY368" s="32"/>
      <c r="FZ368" s="32"/>
      <c r="GA368" s="32"/>
      <c r="GB368" s="32"/>
      <c r="GC368" s="32"/>
      <c r="GD368" s="32"/>
      <c r="GE368" s="32"/>
      <c r="GF368" s="32"/>
      <c r="GG368" s="32"/>
      <c r="GH368" s="32"/>
      <c r="GI368" s="32"/>
      <c r="GJ368" s="32"/>
      <c r="GK368" s="32"/>
      <c r="GL368" s="32"/>
      <c r="GM368" s="32"/>
      <c r="GN368" s="32"/>
      <c r="GO368" s="32"/>
      <c r="GP368" s="32"/>
      <c r="GQ368" s="32"/>
      <c r="GR368" s="32"/>
      <c r="GS368" s="32"/>
      <c r="GT368" s="32"/>
      <c r="GU368" s="32"/>
      <c r="GV368" s="32"/>
      <c r="GW368" s="32"/>
      <c r="GX368" s="32"/>
      <c r="GY368" s="32"/>
      <c r="GZ368" s="32"/>
      <c r="HA368" s="32"/>
      <c r="HB368" s="32"/>
      <c r="HC368" s="32"/>
      <c r="HD368" s="32"/>
      <c r="HE368" s="32"/>
      <c r="HF368" s="32"/>
      <c r="HG368" s="32"/>
      <c r="HH368" s="32"/>
      <c r="HI368" s="32"/>
      <c r="HJ368" s="32"/>
      <c r="HK368" s="32"/>
      <c r="HL368" s="32"/>
      <c r="HM368" s="32"/>
      <c r="HN368" s="32"/>
      <c r="HO368" s="32"/>
      <c r="HP368" s="32"/>
    </row>
    <row r="369" spans="2:224" x14ac:dyDescent="0.5">
      <c r="B369" s="180"/>
      <c r="C369" s="181" t="s">
        <v>112</v>
      </c>
      <c r="D369" s="182"/>
      <c r="G369" s="215"/>
      <c r="H369" s="32"/>
      <c r="I369" s="334"/>
      <c r="J369" s="125"/>
      <c r="L369" s="165"/>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c r="CK369" s="32"/>
      <c r="CL369" s="32"/>
      <c r="CM369" s="32"/>
      <c r="CN369" s="32"/>
      <c r="CO369" s="32"/>
      <c r="CP369" s="32"/>
      <c r="CQ369" s="32"/>
      <c r="CR369" s="32"/>
      <c r="CS369" s="32"/>
      <c r="CT369" s="32"/>
      <c r="CU369" s="32"/>
      <c r="CV369" s="32"/>
      <c r="CW369" s="32"/>
      <c r="CX369" s="32"/>
      <c r="CY369" s="32"/>
      <c r="CZ369" s="32"/>
      <c r="DA369" s="32"/>
      <c r="DB369" s="32"/>
      <c r="DC369" s="32"/>
      <c r="DD369" s="32"/>
      <c r="DE369" s="32"/>
      <c r="DF369" s="32"/>
      <c r="DG369" s="32"/>
      <c r="DH369" s="32"/>
      <c r="DI369" s="32"/>
      <c r="DJ369" s="32"/>
      <c r="DK369" s="32"/>
      <c r="DL369" s="32"/>
      <c r="DM369" s="32"/>
      <c r="DN369" s="32"/>
      <c r="DO369" s="32"/>
      <c r="DP369" s="32"/>
      <c r="DQ369" s="32"/>
      <c r="DR369" s="32"/>
      <c r="DS369" s="32"/>
      <c r="DT369" s="32"/>
      <c r="DU369" s="32"/>
      <c r="DV369" s="32"/>
      <c r="DW369" s="32"/>
      <c r="DX369" s="32"/>
      <c r="DY369" s="32"/>
      <c r="DZ369" s="32"/>
      <c r="EA369" s="32"/>
      <c r="EB369" s="32"/>
      <c r="EC369" s="32"/>
      <c r="ED369" s="32"/>
      <c r="EE369" s="32"/>
      <c r="EF369" s="32"/>
      <c r="EG369" s="32"/>
      <c r="EH369" s="32"/>
      <c r="EI369" s="32"/>
      <c r="EJ369" s="32"/>
      <c r="EK369" s="32"/>
      <c r="EL369" s="32"/>
      <c r="EM369" s="32"/>
      <c r="EN369" s="32"/>
      <c r="EO369" s="32"/>
      <c r="EP369" s="32"/>
      <c r="EQ369" s="32"/>
      <c r="ER369" s="32"/>
      <c r="ES369" s="32"/>
      <c r="ET369" s="32"/>
      <c r="EU369" s="32"/>
      <c r="EV369" s="32"/>
      <c r="EW369" s="32"/>
      <c r="EX369" s="32"/>
      <c r="EY369" s="32"/>
      <c r="EZ369" s="32"/>
      <c r="FA369" s="32"/>
      <c r="FB369" s="32"/>
      <c r="FC369" s="32"/>
      <c r="FD369" s="32"/>
      <c r="FE369" s="32"/>
      <c r="FF369" s="32"/>
      <c r="FG369" s="32"/>
      <c r="FH369" s="32"/>
      <c r="FI369" s="32"/>
      <c r="FJ369" s="32"/>
      <c r="FK369" s="32"/>
      <c r="FL369" s="32"/>
      <c r="FM369" s="32"/>
      <c r="FN369" s="32"/>
      <c r="FO369" s="32"/>
      <c r="FP369" s="32"/>
      <c r="FQ369" s="32"/>
      <c r="FR369" s="32"/>
      <c r="FS369" s="32"/>
      <c r="FT369" s="32"/>
      <c r="FU369" s="32"/>
      <c r="FV369" s="32"/>
      <c r="FW369" s="32"/>
      <c r="FX369" s="32"/>
      <c r="FY369" s="32"/>
      <c r="FZ369" s="32"/>
      <c r="GA369" s="32"/>
      <c r="GB369" s="32"/>
      <c r="GC369" s="32"/>
      <c r="GD369" s="32"/>
      <c r="GE369" s="32"/>
      <c r="GF369" s="32"/>
      <c r="GG369" s="32"/>
      <c r="GH369" s="32"/>
      <c r="GI369" s="32"/>
      <c r="GJ369" s="32"/>
      <c r="GK369" s="32"/>
      <c r="GL369" s="32"/>
      <c r="GM369" s="32"/>
      <c r="GN369" s="32"/>
      <c r="GO369" s="32"/>
      <c r="GP369" s="32"/>
      <c r="GQ369" s="32"/>
      <c r="GR369" s="32"/>
      <c r="GS369" s="32"/>
      <c r="GT369" s="32"/>
      <c r="GU369" s="32"/>
      <c r="GV369" s="32"/>
      <c r="GW369" s="32"/>
      <c r="GX369" s="32"/>
      <c r="GY369" s="32"/>
      <c r="GZ369" s="32"/>
      <c r="HA369" s="32"/>
      <c r="HB369" s="32"/>
      <c r="HC369" s="32"/>
      <c r="HD369" s="32"/>
      <c r="HE369" s="32"/>
      <c r="HF369" s="32"/>
      <c r="HG369" s="32"/>
      <c r="HH369" s="32"/>
      <c r="HI369" s="32"/>
      <c r="HJ369" s="32"/>
      <c r="HK369" s="32"/>
      <c r="HL369" s="32"/>
      <c r="HM369" s="32"/>
      <c r="HN369" s="32"/>
      <c r="HO369" s="32"/>
      <c r="HP369" s="32"/>
    </row>
    <row r="370" spans="2:224" ht="15.4" x14ac:dyDescent="0.45">
      <c r="B370" s="327" t="s">
        <v>113</v>
      </c>
      <c r="C370" s="67" t="s">
        <v>114</v>
      </c>
      <c r="D370" s="165"/>
      <c r="G370" s="328"/>
      <c r="H370" s="32"/>
      <c r="I370" s="334"/>
      <c r="J370" s="32"/>
      <c r="L370" s="165"/>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c r="CK370" s="32"/>
      <c r="CL370" s="32"/>
      <c r="CM370" s="32"/>
      <c r="CN370" s="32"/>
      <c r="CO370" s="32"/>
      <c r="CP370" s="32"/>
      <c r="CQ370" s="32"/>
      <c r="CR370" s="32"/>
      <c r="CS370" s="32"/>
      <c r="CT370" s="32"/>
      <c r="CU370" s="32"/>
      <c r="CV370" s="32"/>
      <c r="CW370" s="32"/>
      <c r="CX370" s="32"/>
      <c r="CY370" s="32"/>
      <c r="CZ370" s="32"/>
      <c r="DA370" s="32"/>
      <c r="DB370" s="32"/>
      <c r="DC370" s="32"/>
      <c r="DD370" s="32"/>
      <c r="DE370" s="32"/>
      <c r="DF370" s="32"/>
      <c r="DG370" s="32"/>
      <c r="DH370" s="32"/>
      <c r="DI370" s="32"/>
      <c r="DJ370" s="32"/>
      <c r="DK370" s="32"/>
      <c r="DL370" s="32"/>
      <c r="DM370" s="32"/>
      <c r="DN370" s="32"/>
      <c r="DO370" s="32"/>
      <c r="DP370" s="32"/>
      <c r="DQ370" s="32"/>
      <c r="DR370" s="32"/>
      <c r="DS370" s="32"/>
      <c r="DT370" s="32"/>
      <c r="DU370" s="32"/>
      <c r="DV370" s="32"/>
      <c r="DW370" s="32"/>
      <c r="DX370" s="32"/>
      <c r="DY370" s="32"/>
      <c r="DZ370" s="32"/>
      <c r="EA370" s="32"/>
      <c r="EB370" s="32"/>
      <c r="EC370" s="32"/>
      <c r="ED370" s="32"/>
      <c r="EE370" s="32"/>
      <c r="EF370" s="32"/>
      <c r="EG370" s="32"/>
      <c r="EH370" s="32"/>
      <c r="EI370" s="32"/>
      <c r="EJ370" s="32"/>
      <c r="EK370" s="32"/>
      <c r="EL370" s="32"/>
      <c r="EM370" s="32"/>
      <c r="EN370" s="32"/>
      <c r="EO370" s="32"/>
      <c r="EP370" s="32"/>
      <c r="EQ370" s="32"/>
      <c r="ER370" s="32"/>
      <c r="ES370" s="32"/>
      <c r="ET370" s="32"/>
      <c r="EU370" s="32"/>
      <c r="EV370" s="32"/>
      <c r="EW370" s="32"/>
      <c r="EX370" s="32"/>
      <c r="EY370" s="32"/>
      <c r="EZ370" s="32"/>
      <c r="FA370" s="32"/>
      <c r="FB370" s="32"/>
      <c r="FC370" s="32"/>
      <c r="FD370" s="32"/>
      <c r="FE370" s="32"/>
      <c r="FF370" s="32"/>
      <c r="FG370" s="32"/>
      <c r="FH370" s="32"/>
      <c r="FI370" s="32"/>
      <c r="FJ370" s="32"/>
      <c r="FK370" s="32"/>
      <c r="FL370" s="32"/>
      <c r="FM370" s="32"/>
      <c r="FN370" s="32"/>
      <c r="FO370" s="32"/>
      <c r="FP370" s="32"/>
      <c r="FQ370" s="32"/>
      <c r="FR370" s="32"/>
      <c r="FS370" s="32"/>
      <c r="FT370" s="32"/>
      <c r="FU370" s="32"/>
      <c r="FV370" s="32"/>
      <c r="FW370" s="32"/>
      <c r="FX370" s="32"/>
      <c r="FY370" s="32"/>
      <c r="FZ370" s="32"/>
      <c r="GA370" s="32"/>
      <c r="GB370" s="32"/>
      <c r="GC370" s="32"/>
      <c r="GD370" s="32"/>
      <c r="GE370" s="32"/>
      <c r="GF370" s="32"/>
      <c r="GG370" s="32"/>
      <c r="GH370" s="32"/>
      <c r="GI370" s="32"/>
      <c r="GJ370" s="32"/>
      <c r="GK370" s="32"/>
      <c r="GL370" s="32"/>
      <c r="GM370" s="32"/>
      <c r="GN370" s="32"/>
      <c r="GO370" s="32"/>
      <c r="GP370" s="32"/>
      <c r="GQ370" s="32"/>
      <c r="GR370" s="32"/>
      <c r="GS370" s="32"/>
      <c r="GT370" s="32"/>
      <c r="GU370" s="32"/>
      <c r="GV370" s="32"/>
      <c r="GW370" s="32"/>
      <c r="GX370" s="32"/>
      <c r="GY370" s="32"/>
      <c r="GZ370" s="32"/>
      <c r="HA370" s="32"/>
      <c r="HB370" s="32"/>
      <c r="HC370" s="32"/>
      <c r="HD370" s="32"/>
      <c r="HE370" s="32"/>
      <c r="HF370" s="32"/>
      <c r="HG370" s="32"/>
      <c r="HH370" s="32"/>
      <c r="HI370" s="32"/>
      <c r="HJ370" s="32"/>
      <c r="HK370" s="32"/>
      <c r="HL370" s="32"/>
      <c r="HM370" s="32"/>
      <c r="HN370" s="32"/>
      <c r="HO370" s="32"/>
      <c r="HP370" s="32"/>
    </row>
    <row r="371" spans="2:224" ht="15.4" x14ac:dyDescent="0.45">
      <c r="B371" s="329"/>
      <c r="C371" s="32" t="s">
        <v>289</v>
      </c>
      <c r="D371" s="165"/>
      <c r="G371" s="328"/>
      <c r="I371" s="334"/>
      <c r="J371" s="32"/>
      <c r="L371" s="165"/>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c r="CK371" s="32"/>
      <c r="CL371" s="32"/>
      <c r="CM371" s="32"/>
      <c r="CN371" s="32"/>
      <c r="CO371" s="32"/>
      <c r="CP371" s="32"/>
      <c r="CQ371" s="32"/>
      <c r="CR371" s="32"/>
      <c r="CS371" s="32"/>
      <c r="CT371" s="32"/>
      <c r="CU371" s="32"/>
      <c r="CV371" s="32"/>
      <c r="CW371" s="32"/>
      <c r="CX371" s="32"/>
      <c r="CY371" s="32"/>
      <c r="CZ371" s="32"/>
      <c r="DA371" s="32"/>
      <c r="DB371" s="32"/>
      <c r="DC371" s="32"/>
      <c r="DD371" s="32"/>
      <c r="DE371" s="32"/>
      <c r="DF371" s="32"/>
      <c r="DG371" s="32"/>
      <c r="DH371" s="32"/>
      <c r="DI371" s="32"/>
      <c r="DJ371" s="32"/>
      <c r="DK371" s="32"/>
      <c r="DL371" s="32"/>
      <c r="DM371" s="32"/>
      <c r="DN371" s="32"/>
      <c r="DO371" s="32"/>
      <c r="DP371" s="32"/>
      <c r="DQ371" s="32"/>
      <c r="DR371" s="32"/>
      <c r="DS371" s="32"/>
      <c r="DT371" s="32"/>
      <c r="DU371" s="32"/>
      <c r="DV371" s="32"/>
      <c r="DW371" s="32"/>
      <c r="DX371" s="32"/>
      <c r="DY371" s="32"/>
      <c r="DZ371" s="32"/>
      <c r="EA371" s="32"/>
      <c r="EB371" s="32"/>
      <c r="EC371" s="32"/>
      <c r="ED371" s="32"/>
      <c r="EE371" s="32"/>
      <c r="EF371" s="32"/>
      <c r="EG371" s="32"/>
      <c r="EH371" s="32"/>
      <c r="EI371" s="32"/>
      <c r="EJ371" s="32"/>
      <c r="EK371" s="32"/>
      <c r="EL371" s="32"/>
      <c r="EM371" s="32"/>
      <c r="EN371" s="32"/>
      <c r="EO371" s="32"/>
      <c r="EP371" s="32"/>
      <c r="EQ371" s="32"/>
      <c r="ER371" s="32"/>
      <c r="ES371" s="32"/>
      <c r="ET371" s="32"/>
      <c r="EU371" s="32"/>
      <c r="EV371" s="32"/>
      <c r="EW371" s="32"/>
      <c r="EX371" s="32"/>
      <c r="EY371" s="32"/>
      <c r="EZ371" s="32"/>
      <c r="FA371" s="32"/>
      <c r="FB371" s="32"/>
      <c r="FC371" s="32"/>
      <c r="FD371" s="32"/>
      <c r="FE371" s="32"/>
      <c r="FF371" s="32"/>
      <c r="FG371" s="32"/>
      <c r="FH371" s="32"/>
      <c r="FI371" s="32"/>
      <c r="FJ371" s="32"/>
      <c r="FK371" s="32"/>
      <c r="FL371" s="32"/>
      <c r="FM371" s="32"/>
      <c r="FN371" s="32"/>
      <c r="FO371" s="32"/>
      <c r="FP371" s="32"/>
      <c r="FQ371" s="32"/>
      <c r="FR371" s="32"/>
      <c r="FS371" s="32"/>
      <c r="FT371" s="32"/>
      <c r="FU371" s="32"/>
      <c r="FV371" s="32"/>
      <c r="FW371" s="32"/>
      <c r="FX371" s="32"/>
      <c r="FY371" s="32"/>
      <c r="FZ371" s="32"/>
      <c r="GA371" s="32"/>
      <c r="GB371" s="32"/>
      <c r="GC371" s="32"/>
      <c r="GD371" s="32"/>
      <c r="GE371" s="32"/>
      <c r="GF371" s="32"/>
      <c r="GG371" s="32"/>
      <c r="GH371" s="32"/>
      <c r="GI371" s="32"/>
      <c r="GJ371" s="32"/>
      <c r="GK371" s="32"/>
      <c r="GL371" s="32"/>
      <c r="GM371" s="32"/>
      <c r="GN371" s="32"/>
      <c r="GO371" s="32"/>
      <c r="GP371" s="32"/>
      <c r="GQ371" s="32"/>
      <c r="GR371" s="32"/>
      <c r="GS371" s="32"/>
      <c r="GT371" s="32"/>
      <c r="GU371" s="32"/>
      <c r="GV371" s="32"/>
      <c r="GW371" s="32"/>
      <c r="GX371" s="32"/>
      <c r="GY371" s="32"/>
      <c r="GZ371" s="32"/>
      <c r="HA371" s="32"/>
      <c r="HB371" s="32"/>
      <c r="HC371" s="32"/>
      <c r="HD371" s="32"/>
      <c r="HE371" s="32"/>
      <c r="HF371" s="32"/>
      <c r="HG371" s="32"/>
      <c r="HH371" s="32"/>
      <c r="HI371" s="32"/>
      <c r="HJ371" s="32"/>
      <c r="HK371" s="32"/>
      <c r="HL371" s="32"/>
      <c r="HM371" s="32"/>
      <c r="HN371" s="32"/>
      <c r="HO371" s="32"/>
      <c r="HP371" s="32"/>
    </row>
    <row r="372" spans="2:224" ht="15.4" x14ac:dyDescent="0.45">
      <c r="B372" s="329"/>
      <c r="C372" s="32" t="s">
        <v>115</v>
      </c>
      <c r="D372" s="165"/>
      <c r="G372" s="328"/>
      <c r="I372" s="334"/>
      <c r="J372" s="32"/>
      <c r="L372" s="165"/>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c r="CK372" s="32"/>
      <c r="CL372" s="32"/>
      <c r="CM372" s="32"/>
      <c r="CN372" s="32"/>
      <c r="CO372" s="32"/>
      <c r="CP372" s="32"/>
      <c r="CQ372" s="32"/>
      <c r="CR372" s="32"/>
      <c r="CS372" s="32"/>
      <c r="CT372" s="32"/>
      <c r="CU372" s="32"/>
      <c r="CV372" s="32"/>
      <c r="CW372" s="32"/>
      <c r="CX372" s="32"/>
      <c r="CY372" s="32"/>
      <c r="CZ372" s="32"/>
      <c r="DA372" s="32"/>
      <c r="DB372" s="32"/>
      <c r="DC372" s="32"/>
      <c r="DD372" s="32"/>
      <c r="DE372" s="32"/>
      <c r="DF372" s="32"/>
      <c r="DG372" s="32"/>
      <c r="DH372" s="32"/>
      <c r="DI372" s="32"/>
      <c r="DJ372" s="32"/>
      <c r="DK372" s="32"/>
      <c r="DL372" s="32"/>
      <c r="DM372" s="32"/>
      <c r="DN372" s="32"/>
      <c r="DO372" s="32"/>
      <c r="DP372" s="32"/>
      <c r="DQ372" s="32"/>
      <c r="DR372" s="32"/>
      <c r="DS372" s="32"/>
      <c r="DT372" s="32"/>
      <c r="DU372" s="32"/>
      <c r="DV372" s="32"/>
      <c r="DW372" s="32"/>
      <c r="DX372" s="32"/>
      <c r="DY372" s="32"/>
      <c r="DZ372" s="32"/>
      <c r="EA372" s="32"/>
      <c r="EB372" s="32"/>
      <c r="EC372" s="32"/>
      <c r="ED372" s="32"/>
      <c r="EE372" s="32"/>
      <c r="EF372" s="32"/>
      <c r="EG372" s="32"/>
      <c r="EH372" s="32"/>
      <c r="EI372" s="32"/>
      <c r="EJ372" s="32"/>
      <c r="EK372" s="32"/>
      <c r="EL372" s="32"/>
      <c r="EM372" s="32"/>
      <c r="EN372" s="32"/>
      <c r="EO372" s="32"/>
      <c r="EP372" s="32"/>
      <c r="EQ372" s="32"/>
      <c r="ER372" s="32"/>
      <c r="ES372" s="32"/>
      <c r="ET372" s="32"/>
      <c r="EU372" s="32"/>
      <c r="EV372" s="32"/>
      <c r="EW372" s="32"/>
      <c r="EX372" s="32"/>
      <c r="EY372" s="32"/>
      <c r="EZ372" s="32"/>
      <c r="FA372" s="32"/>
      <c r="FB372" s="32"/>
      <c r="FC372" s="32"/>
      <c r="FD372" s="32"/>
      <c r="FE372" s="32"/>
      <c r="FF372" s="32"/>
      <c r="FG372" s="32"/>
      <c r="FH372" s="32"/>
      <c r="FI372" s="32"/>
      <c r="FJ372" s="32"/>
      <c r="FK372" s="32"/>
      <c r="FL372" s="32"/>
      <c r="FM372" s="32"/>
      <c r="FN372" s="32"/>
      <c r="FO372" s="32"/>
      <c r="FP372" s="32"/>
      <c r="FQ372" s="32"/>
      <c r="FR372" s="32"/>
      <c r="FS372" s="32"/>
      <c r="FT372" s="32"/>
      <c r="FU372" s="32"/>
      <c r="FV372" s="32"/>
      <c r="FW372" s="32"/>
      <c r="FX372" s="32"/>
      <c r="FY372" s="32"/>
      <c r="FZ372" s="32"/>
      <c r="GA372" s="32"/>
      <c r="GB372" s="32"/>
      <c r="GC372" s="32"/>
      <c r="GD372" s="32"/>
      <c r="GE372" s="32"/>
      <c r="GF372" s="32"/>
      <c r="GG372" s="32"/>
      <c r="GH372" s="32"/>
      <c r="GI372" s="32"/>
      <c r="GJ372" s="32"/>
      <c r="GK372" s="32"/>
      <c r="GL372" s="32"/>
      <c r="GM372" s="32"/>
      <c r="GN372" s="32"/>
      <c r="GO372" s="32"/>
      <c r="GP372" s="32"/>
      <c r="GQ372" s="32"/>
      <c r="GR372" s="32"/>
      <c r="GS372" s="32"/>
      <c r="GT372" s="32"/>
      <c r="GU372" s="32"/>
      <c r="GV372" s="32"/>
      <c r="GW372" s="32"/>
      <c r="GX372" s="32"/>
      <c r="GY372" s="32"/>
      <c r="GZ372" s="32"/>
      <c r="HA372" s="32"/>
      <c r="HB372" s="32"/>
      <c r="HC372" s="32"/>
      <c r="HD372" s="32"/>
      <c r="HE372" s="32"/>
      <c r="HF372" s="32"/>
      <c r="HG372" s="32"/>
      <c r="HH372" s="32"/>
      <c r="HI372" s="32"/>
      <c r="HJ372" s="32"/>
      <c r="HK372" s="32"/>
      <c r="HL372" s="32"/>
      <c r="HM372" s="32"/>
      <c r="HN372" s="32"/>
      <c r="HO372" s="32"/>
      <c r="HP372" s="32"/>
    </row>
    <row r="373" spans="2:224" ht="15.4" x14ac:dyDescent="0.45">
      <c r="B373" s="329"/>
      <c r="C373" s="32" t="s">
        <v>116</v>
      </c>
      <c r="D373" s="165"/>
      <c r="G373" s="328"/>
      <c r="I373" s="334"/>
      <c r="J373" s="32"/>
      <c r="L373" s="165"/>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c r="CK373" s="32"/>
      <c r="CL373" s="32"/>
      <c r="CM373" s="32"/>
      <c r="CN373" s="32"/>
      <c r="CO373" s="32"/>
      <c r="CP373" s="32"/>
      <c r="CQ373" s="32"/>
      <c r="CR373" s="32"/>
      <c r="CS373" s="32"/>
      <c r="CT373" s="32"/>
      <c r="CU373" s="32"/>
      <c r="CV373" s="32"/>
      <c r="CW373" s="32"/>
      <c r="CX373" s="32"/>
      <c r="CY373" s="32"/>
      <c r="CZ373" s="32"/>
      <c r="DA373" s="32"/>
      <c r="DB373" s="32"/>
      <c r="DC373" s="32"/>
      <c r="DD373" s="32"/>
      <c r="DE373" s="32"/>
      <c r="DF373" s="32"/>
      <c r="DG373" s="32"/>
      <c r="DH373" s="32"/>
      <c r="DI373" s="32"/>
      <c r="DJ373" s="32"/>
      <c r="DK373" s="32"/>
      <c r="DL373" s="32"/>
      <c r="DM373" s="32"/>
      <c r="DN373" s="32"/>
      <c r="DO373" s="32"/>
      <c r="DP373" s="32"/>
      <c r="DQ373" s="32"/>
      <c r="DR373" s="32"/>
      <c r="DS373" s="32"/>
      <c r="DT373" s="32"/>
      <c r="DU373" s="32"/>
      <c r="DV373" s="32"/>
      <c r="DW373" s="32"/>
      <c r="DX373" s="32"/>
      <c r="DY373" s="32"/>
      <c r="DZ373" s="32"/>
      <c r="EA373" s="32"/>
      <c r="EB373" s="32"/>
      <c r="EC373" s="32"/>
      <c r="ED373" s="32"/>
      <c r="EE373" s="32"/>
      <c r="EF373" s="32"/>
      <c r="EG373" s="32"/>
      <c r="EH373" s="32"/>
      <c r="EI373" s="32"/>
      <c r="EJ373" s="32"/>
      <c r="EK373" s="32"/>
      <c r="EL373" s="32"/>
      <c r="EM373" s="32"/>
      <c r="EN373" s="32"/>
      <c r="EO373" s="32"/>
      <c r="EP373" s="32"/>
      <c r="EQ373" s="32"/>
      <c r="ER373" s="32"/>
      <c r="ES373" s="32"/>
      <c r="ET373" s="32"/>
      <c r="EU373" s="32"/>
      <c r="EV373" s="32"/>
      <c r="EW373" s="32"/>
      <c r="EX373" s="32"/>
      <c r="EY373" s="32"/>
      <c r="EZ373" s="32"/>
      <c r="FA373" s="32"/>
      <c r="FB373" s="32"/>
      <c r="FC373" s="32"/>
      <c r="FD373" s="32"/>
      <c r="FE373" s="32"/>
      <c r="FF373" s="32"/>
      <c r="FG373" s="32"/>
      <c r="FH373" s="32"/>
      <c r="FI373" s="32"/>
      <c r="FJ373" s="32"/>
      <c r="FK373" s="32"/>
      <c r="FL373" s="32"/>
      <c r="FM373" s="32"/>
      <c r="FN373" s="32"/>
      <c r="FO373" s="32"/>
      <c r="FP373" s="32"/>
      <c r="FQ373" s="32"/>
      <c r="FR373" s="32"/>
      <c r="FS373" s="32"/>
      <c r="FT373" s="32"/>
      <c r="FU373" s="32"/>
      <c r="FV373" s="32"/>
      <c r="FW373" s="32"/>
      <c r="FX373" s="32"/>
      <c r="FY373" s="32"/>
      <c r="FZ373" s="32"/>
      <c r="GA373" s="32"/>
      <c r="GB373" s="32"/>
      <c r="GC373" s="32"/>
      <c r="GD373" s="32"/>
      <c r="GE373" s="32"/>
      <c r="GF373" s="32"/>
      <c r="GG373" s="32"/>
      <c r="GH373" s="32"/>
      <c r="GI373" s="32"/>
      <c r="GJ373" s="32"/>
      <c r="GK373" s="32"/>
      <c r="GL373" s="32"/>
      <c r="GM373" s="32"/>
      <c r="GN373" s="32"/>
      <c r="GO373" s="32"/>
      <c r="GP373" s="32"/>
      <c r="GQ373" s="32"/>
      <c r="GR373" s="32"/>
      <c r="GS373" s="32"/>
      <c r="GT373" s="32"/>
      <c r="GU373" s="32"/>
      <c r="GV373" s="32"/>
      <c r="GW373" s="32"/>
      <c r="GX373" s="32"/>
      <c r="GY373" s="32"/>
      <c r="GZ373" s="32"/>
      <c r="HA373" s="32"/>
      <c r="HB373" s="32"/>
      <c r="HC373" s="32"/>
      <c r="HD373" s="32"/>
      <c r="HE373" s="32"/>
      <c r="HF373" s="32"/>
      <c r="HG373" s="32"/>
      <c r="HH373" s="32"/>
      <c r="HI373" s="32"/>
      <c r="HJ373" s="32"/>
      <c r="HK373" s="32"/>
      <c r="HL373" s="32"/>
      <c r="HM373" s="32"/>
      <c r="HN373" s="32"/>
      <c r="HO373" s="32"/>
      <c r="HP373" s="32"/>
    </row>
    <row r="374" spans="2:224" ht="36.5" customHeight="1" x14ac:dyDescent="0.45">
      <c r="B374" s="329"/>
      <c r="C374" s="344" t="s">
        <v>277</v>
      </c>
      <c r="D374" s="344"/>
      <c r="E374" s="344"/>
      <c r="F374" s="344"/>
      <c r="G374" s="345"/>
      <c r="H374" s="299"/>
      <c r="I374" s="334"/>
      <c r="J374" s="32" t="s">
        <v>5</v>
      </c>
      <c r="L374" s="165"/>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c r="CK374" s="32"/>
      <c r="CL374" s="32"/>
      <c r="CM374" s="32"/>
      <c r="CN374" s="32"/>
      <c r="CO374" s="32"/>
      <c r="CP374" s="32"/>
      <c r="CQ374" s="32"/>
      <c r="CR374" s="32"/>
      <c r="CS374" s="32"/>
      <c r="CT374" s="32"/>
      <c r="CU374" s="32"/>
      <c r="CV374" s="32"/>
      <c r="CW374" s="32"/>
      <c r="CX374" s="32"/>
      <c r="CY374" s="32"/>
      <c r="CZ374" s="32"/>
      <c r="DA374" s="32"/>
      <c r="DB374" s="32"/>
      <c r="DC374" s="32"/>
      <c r="DD374" s="32"/>
      <c r="DE374" s="32"/>
      <c r="DF374" s="32"/>
      <c r="DG374" s="32"/>
      <c r="DH374" s="32"/>
      <c r="DI374" s="32"/>
      <c r="DJ374" s="32"/>
      <c r="DK374" s="32"/>
      <c r="DL374" s="32"/>
      <c r="DM374" s="32"/>
      <c r="DN374" s="32"/>
      <c r="DO374" s="32"/>
      <c r="DP374" s="32"/>
      <c r="DQ374" s="32"/>
      <c r="DR374" s="32"/>
      <c r="DS374" s="32"/>
      <c r="DT374" s="32"/>
      <c r="DU374" s="32"/>
      <c r="DV374" s="32"/>
      <c r="DW374" s="32"/>
      <c r="DX374" s="32"/>
      <c r="DY374" s="32"/>
      <c r="DZ374" s="32"/>
      <c r="EA374" s="32"/>
      <c r="EB374" s="32"/>
      <c r="EC374" s="32"/>
      <c r="ED374" s="32"/>
      <c r="EE374" s="32"/>
      <c r="EF374" s="32"/>
      <c r="EG374" s="32"/>
      <c r="EH374" s="32"/>
      <c r="EI374" s="32"/>
      <c r="EJ374" s="32"/>
      <c r="EK374" s="32"/>
      <c r="EL374" s="32"/>
      <c r="EM374" s="32"/>
      <c r="EN374" s="32"/>
      <c r="EO374" s="32"/>
      <c r="EP374" s="32"/>
      <c r="EQ374" s="32"/>
      <c r="ER374" s="32"/>
      <c r="ES374" s="32"/>
      <c r="ET374" s="32"/>
      <c r="EU374" s="32"/>
      <c r="EV374" s="32"/>
      <c r="EW374" s="32"/>
      <c r="EX374" s="32"/>
      <c r="EY374" s="32"/>
      <c r="EZ374" s="32"/>
      <c r="FA374" s="32"/>
      <c r="FB374" s="32"/>
      <c r="FC374" s="32"/>
      <c r="FD374" s="32"/>
      <c r="FE374" s="32"/>
      <c r="FF374" s="32"/>
      <c r="FG374" s="32"/>
      <c r="FH374" s="32"/>
      <c r="FI374" s="32"/>
      <c r="FJ374" s="32"/>
      <c r="FK374" s="32"/>
      <c r="FL374" s="32"/>
      <c r="FM374" s="32"/>
      <c r="FN374" s="32"/>
      <c r="FO374" s="32"/>
      <c r="FP374" s="32"/>
      <c r="FQ374" s="32"/>
      <c r="FR374" s="32"/>
      <c r="FS374" s="32"/>
      <c r="FT374" s="32"/>
      <c r="FU374" s="32"/>
      <c r="FV374" s="32"/>
      <c r="FW374" s="32"/>
      <c r="FX374" s="32"/>
      <c r="FY374" s="32"/>
      <c r="FZ374" s="32"/>
      <c r="GA374" s="32"/>
      <c r="GB374" s="32"/>
      <c r="GC374" s="32"/>
      <c r="GD374" s="32"/>
      <c r="GE374" s="32"/>
      <c r="GF374" s="32"/>
      <c r="GG374" s="32"/>
      <c r="GH374" s="32"/>
      <c r="GI374" s="32"/>
      <c r="GJ374" s="32"/>
      <c r="GK374" s="32"/>
      <c r="GL374" s="32"/>
      <c r="GM374" s="32"/>
      <c r="GN374" s="32"/>
      <c r="GO374" s="32"/>
      <c r="GP374" s="32"/>
      <c r="GQ374" s="32"/>
      <c r="GR374" s="32"/>
      <c r="GS374" s="32"/>
      <c r="GT374" s="32"/>
      <c r="GU374" s="32"/>
      <c r="GV374" s="32"/>
      <c r="GW374" s="32"/>
      <c r="GX374" s="32"/>
      <c r="GY374" s="32"/>
      <c r="GZ374" s="32"/>
      <c r="HA374" s="32"/>
      <c r="HB374" s="32"/>
      <c r="HC374" s="32"/>
      <c r="HD374" s="32"/>
      <c r="HE374" s="32"/>
      <c r="HF374" s="32"/>
      <c r="HG374" s="32"/>
      <c r="HH374" s="32"/>
      <c r="HI374" s="32"/>
      <c r="HJ374" s="32"/>
      <c r="HK374" s="32"/>
      <c r="HL374" s="32"/>
      <c r="HM374" s="32"/>
      <c r="HN374" s="32"/>
      <c r="HO374" s="32"/>
      <c r="HP374" s="32"/>
    </row>
    <row r="375" spans="2:224" ht="15.4" x14ac:dyDescent="0.45">
      <c r="B375" s="329"/>
      <c r="C375" s="32"/>
      <c r="D375" s="165"/>
      <c r="G375" s="328"/>
      <c r="I375" s="334"/>
      <c r="J375" s="32"/>
      <c r="L375" s="165"/>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c r="CK375" s="32"/>
      <c r="CL375" s="32"/>
      <c r="CM375" s="32"/>
      <c r="CN375" s="32"/>
      <c r="CO375" s="32"/>
      <c r="CP375" s="32"/>
      <c r="CQ375" s="32"/>
      <c r="CR375" s="32"/>
      <c r="CS375" s="32"/>
      <c r="CT375" s="32"/>
      <c r="CU375" s="32"/>
      <c r="CV375" s="32"/>
      <c r="CW375" s="32"/>
      <c r="CX375" s="32"/>
      <c r="CY375" s="32"/>
      <c r="CZ375" s="32"/>
      <c r="DA375" s="32"/>
      <c r="DB375" s="32"/>
      <c r="DC375" s="32"/>
      <c r="DD375" s="32"/>
      <c r="DE375" s="32"/>
      <c r="DF375" s="32"/>
      <c r="DG375" s="32"/>
      <c r="DH375" s="32"/>
      <c r="DI375" s="32"/>
      <c r="DJ375" s="32"/>
      <c r="DK375" s="32"/>
      <c r="DL375" s="32"/>
      <c r="DM375" s="32"/>
      <c r="DN375" s="32"/>
      <c r="DO375" s="32"/>
      <c r="DP375" s="32"/>
      <c r="DQ375" s="32"/>
      <c r="DR375" s="32"/>
      <c r="DS375" s="32"/>
      <c r="DT375" s="32"/>
      <c r="DU375" s="32"/>
      <c r="DV375" s="32"/>
      <c r="DW375" s="32"/>
      <c r="DX375" s="32"/>
      <c r="DY375" s="32"/>
      <c r="DZ375" s="32"/>
      <c r="EA375" s="32"/>
      <c r="EB375" s="32"/>
      <c r="EC375" s="32"/>
      <c r="ED375" s="32"/>
      <c r="EE375" s="32"/>
      <c r="EF375" s="32"/>
      <c r="EG375" s="32"/>
      <c r="EH375" s="32"/>
      <c r="EI375" s="32"/>
      <c r="EJ375" s="32"/>
      <c r="EK375" s="32"/>
      <c r="EL375" s="32"/>
      <c r="EM375" s="32"/>
      <c r="EN375" s="32"/>
      <c r="EO375" s="32"/>
      <c r="EP375" s="32"/>
      <c r="EQ375" s="32"/>
      <c r="ER375" s="32"/>
      <c r="ES375" s="32"/>
      <c r="ET375" s="32"/>
      <c r="EU375" s="32"/>
      <c r="EV375" s="32"/>
      <c r="EW375" s="32"/>
      <c r="EX375" s="32"/>
      <c r="EY375" s="32"/>
      <c r="EZ375" s="32"/>
      <c r="FA375" s="32"/>
      <c r="FB375" s="32"/>
      <c r="FC375" s="32"/>
      <c r="FD375" s="32"/>
      <c r="FE375" s="32"/>
      <c r="FF375" s="32"/>
      <c r="FG375" s="32"/>
      <c r="FH375" s="32"/>
      <c r="FI375" s="32"/>
      <c r="FJ375" s="32"/>
      <c r="FK375" s="32"/>
      <c r="FL375" s="32"/>
      <c r="FM375" s="32"/>
      <c r="FN375" s="32"/>
      <c r="FO375" s="32"/>
      <c r="FP375" s="32"/>
      <c r="FQ375" s="32"/>
      <c r="FR375" s="32"/>
      <c r="FS375" s="32"/>
      <c r="FT375" s="32"/>
      <c r="FU375" s="32"/>
      <c r="FV375" s="32"/>
      <c r="FW375" s="32"/>
      <c r="FX375" s="32"/>
      <c r="FY375" s="32"/>
      <c r="FZ375" s="32"/>
      <c r="GA375" s="32"/>
      <c r="GB375" s="32"/>
      <c r="GC375" s="32"/>
      <c r="GD375" s="32"/>
      <c r="GE375" s="32"/>
      <c r="GF375" s="32"/>
      <c r="GG375" s="32"/>
      <c r="GH375" s="32"/>
      <c r="GI375" s="32"/>
      <c r="GJ375" s="32"/>
      <c r="GK375" s="32"/>
      <c r="GL375" s="32"/>
      <c r="GM375" s="32"/>
      <c r="GN375" s="32"/>
      <c r="GO375" s="32"/>
      <c r="GP375" s="32"/>
      <c r="GQ375" s="32"/>
      <c r="GR375" s="32"/>
      <c r="GS375" s="32"/>
      <c r="GT375" s="32"/>
      <c r="GU375" s="32"/>
      <c r="GV375" s="32"/>
      <c r="GW375" s="32"/>
      <c r="GX375" s="32"/>
      <c r="GY375" s="32"/>
      <c r="GZ375" s="32"/>
      <c r="HA375" s="32"/>
      <c r="HB375" s="32"/>
      <c r="HC375" s="32"/>
      <c r="HD375" s="32"/>
      <c r="HE375" s="32"/>
      <c r="HF375" s="32"/>
      <c r="HG375" s="32"/>
      <c r="HH375" s="32"/>
      <c r="HI375" s="32"/>
      <c r="HJ375" s="32"/>
      <c r="HK375" s="32"/>
      <c r="HL375" s="32"/>
      <c r="HM375" s="32"/>
      <c r="HN375" s="32"/>
      <c r="HO375" s="32"/>
      <c r="HP375" s="32"/>
    </row>
    <row r="376" spans="2:224" ht="15.4" x14ac:dyDescent="0.45">
      <c r="B376" s="327" t="s">
        <v>117</v>
      </c>
      <c r="C376" s="67" t="s">
        <v>118</v>
      </c>
      <c r="D376" s="165"/>
      <c r="G376" s="328"/>
      <c r="I376" s="334"/>
      <c r="J376" s="32"/>
      <c r="L376" s="165"/>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c r="CK376" s="32"/>
      <c r="CL376" s="32"/>
      <c r="CM376" s="32"/>
      <c r="CN376" s="32"/>
      <c r="CO376" s="32"/>
      <c r="CP376" s="32"/>
      <c r="CQ376" s="32"/>
      <c r="CR376" s="32"/>
      <c r="CS376" s="32"/>
      <c r="CT376" s="32"/>
      <c r="CU376" s="32"/>
      <c r="CV376" s="32"/>
      <c r="CW376" s="32"/>
      <c r="CX376" s="32"/>
      <c r="CY376" s="32"/>
      <c r="CZ376" s="32"/>
      <c r="DA376" s="32"/>
      <c r="DB376" s="32"/>
      <c r="DC376" s="32"/>
      <c r="DD376" s="32"/>
      <c r="DE376" s="32"/>
      <c r="DF376" s="32"/>
      <c r="DG376" s="32"/>
      <c r="DH376" s="32"/>
      <c r="DI376" s="32"/>
      <c r="DJ376" s="32"/>
      <c r="DK376" s="32"/>
      <c r="DL376" s="32"/>
      <c r="DM376" s="32"/>
      <c r="DN376" s="32"/>
      <c r="DO376" s="32"/>
      <c r="DP376" s="32"/>
      <c r="DQ376" s="32"/>
      <c r="DR376" s="32"/>
      <c r="DS376" s="32"/>
      <c r="DT376" s="32"/>
      <c r="DU376" s="32"/>
      <c r="DV376" s="32"/>
      <c r="DW376" s="32"/>
      <c r="DX376" s="32"/>
      <c r="DY376" s="32"/>
      <c r="DZ376" s="32"/>
      <c r="EA376" s="32"/>
      <c r="EB376" s="32"/>
      <c r="EC376" s="32"/>
      <c r="ED376" s="32"/>
      <c r="EE376" s="32"/>
      <c r="EF376" s="32"/>
      <c r="EG376" s="32"/>
      <c r="EH376" s="32"/>
      <c r="EI376" s="32"/>
      <c r="EJ376" s="32"/>
      <c r="EK376" s="32"/>
      <c r="EL376" s="32"/>
      <c r="EM376" s="32"/>
      <c r="EN376" s="32"/>
      <c r="EO376" s="32"/>
      <c r="EP376" s="32"/>
      <c r="EQ376" s="32"/>
      <c r="ER376" s="32"/>
      <c r="ES376" s="32"/>
      <c r="ET376" s="32"/>
      <c r="EU376" s="32"/>
      <c r="EV376" s="32"/>
      <c r="EW376" s="32"/>
      <c r="EX376" s="32"/>
      <c r="EY376" s="32"/>
      <c r="EZ376" s="32"/>
      <c r="FA376" s="32"/>
      <c r="FB376" s="32"/>
      <c r="FC376" s="32"/>
      <c r="FD376" s="32"/>
      <c r="FE376" s="32"/>
      <c r="FF376" s="32"/>
      <c r="FG376" s="32"/>
      <c r="FH376" s="32"/>
      <c r="FI376" s="32"/>
      <c r="FJ376" s="32"/>
      <c r="FK376" s="32"/>
      <c r="FL376" s="32"/>
      <c r="FM376" s="32"/>
      <c r="FN376" s="32"/>
      <c r="FO376" s="32"/>
      <c r="FP376" s="32"/>
      <c r="FQ376" s="32"/>
      <c r="FR376" s="32"/>
      <c r="FS376" s="32"/>
      <c r="FT376" s="32"/>
      <c r="FU376" s="32"/>
      <c r="FV376" s="32"/>
      <c r="FW376" s="32"/>
      <c r="FX376" s="32"/>
      <c r="FY376" s="32"/>
      <c r="FZ376" s="32"/>
      <c r="GA376" s="32"/>
      <c r="GB376" s="32"/>
      <c r="GC376" s="32"/>
      <c r="GD376" s="32"/>
      <c r="GE376" s="32"/>
      <c r="GF376" s="32"/>
      <c r="GG376" s="32"/>
      <c r="GH376" s="32"/>
      <c r="GI376" s="32"/>
      <c r="GJ376" s="32"/>
      <c r="GK376" s="32"/>
      <c r="GL376" s="32"/>
      <c r="GM376" s="32"/>
      <c r="GN376" s="32"/>
      <c r="GO376" s="32"/>
      <c r="GP376" s="32"/>
      <c r="GQ376" s="32"/>
      <c r="GR376" s="32"/>
      <c r="GS376" s="32"/>
      <c r="GT376" s="32"/>
      <c r="GU376" s="32"/>
      <c r="GV376" s="32"/>
      <c r="GW376" s="32"/>
      <c r="GX376" s="32"/>
      <c r="GY376" s="32"/>
      <c r="GZ376" s="32"/>
      <c r="HA376" s="32"/>
      <c r="HB376" s="32"/>
      <c r="HC376" s="32"/>
      <c r="HD376" s="32"/>
      <c r="HE376" s="32"/>
      <c r="HF376" s="32"/>
      <c r="HG376" s="32"/>
      <c r="HH376" s="32"/>
      <c r="HI376" s="32"/>
      <c r="HJ376" s="32"/>
      <c r="HK376" s="32"/>
      <c r="HL376" s="32"/>
      <c r="HM376" s="32"/>
      <c r="HN376" s="32"/>
      <c r="HO376" s="32"/>
      <c r="HP376" s="32"/>
    </row>
    <row r="377" spans="2:224" s="30" customFormat="1" x14ac:dyDescent="0.5">
      <c r="B377" s="329"/>
      <c r="C377" s="32" t="s">
        <v>119</v>
      </c>
      <c r="D377" s="165"/>
      <c r="E377" s="29"/>
      <c r="F377" s="64"/>
      <c r="G377" s="328"/>
      <c r="I377" s="336"/>
      <c r="J377" s="276"/>
      <c r="K377" s="323"/>
      <c r="L377" s="325"/>
      <c r="M377" s="276"/>
      <c r="N377" s="276"/>
      <c r="O377" s="276"/>
      <c r="P377" s="276"/>
      <c r="Q377" s="276"/>
      <c r="R377" s="276"/>
      <c r="S377" s="276"/>
      <c r="T377" s="276"/>
      <c r="U377" s="276"/>
      <c r="V377" s="276"/>
      <c r="W377" s="276"/>
      <c r="X377" s="276"/>
      <c r="Y377" s="276"/>
      <c r="Z377" s="276"/>
      <c r="AA377" s="276"/>
      <c r="AB377" s="276"/>
      <c r="AC377" s="276"/>
      <c r="AD377" s="276"/>
      <c r="AE377" s="276"/>
      <c r="AF377" s="276"/>
      <c r="AG377" s="276"/>
      <c r="AH377" s="276"/>
      <c r="AI377" s="276"/>
      <c r="AJ377" s="276"/>
      <c r="AK377" s="276"/>
      <c r="AL377" s="276"/>
      <c r="AM377" s="276"/>
      <c r="AN377" s="276"/>
      <c r="AO377" s="276"/>
      <c r="AP377" s="276"/>
      <c r="AQ377" s="276"/>
      <c r="AR377" s="276"/>
      <c r="AS377" s="276"/>
      <c r="AT377" s="276"/>
      <c r="AU377" s="276"/>
      <c r="AV377" s="276"/>
      <c r="AW377" s="276"/>
      <c r="AX377" s="276"/>
      <c r="AY377" s="276"/>
      <c r="AZ377" s="276"/>
      <c r="BA377" s="276"/>
      <c r="BB377" s="276"/>
      <c r="BC377" s="276"/>
      <c r="BD377" s="276"/>
      <c r="BE377" s="276"/>
      <c r="BF377" s="276"/>
      <c r="BG377" s="276"/>
      <c r="BH377" s="276"/>
      <c r="BI377" s="276"/>
      <c r="BJ377" s="276"/>
      <c r="BK377" s="276"/>
      <c r="BL377" s="276"/>
      <c r="BM377" s="276"/>
      <c r="BN377" s="276"/>
      <c r="BO377" s="276"/>
      <c r="BP377" s="276"/>
      <c r="BQ377" s="276"/>
      <c r="BR377" s="276"/>
      <c r="BS377" s="276"/>
      <c r="BT377" s="276"/>
      <c r="BU377" s="276"/>
      <c r="BV377" s="276"/>
      <c r="BW377" s="276"/>
      <c r="BX377" s="276"/>
      <c r="BY377" s="276"/>
      <c r="BZ377" s="276"/>
      <c r="CA377" s="276"/>
      <c r="CB377" s="276"/>
      <c r="CC377" s="276"/>
      <c r="CD377" s="276"/>
      <c r="CE377" s="276"/>
      <c r="CF377" s="276"/>
      <c r="CG377" s="276"/>
      <c r="CH377" s="276"/>
      <c r="CI377" s="276"/>
      <c r="CJ377" s="276"/>
      <c r="CK377" s="276"/>
      <c r="CL377" s="276"/>
      <c r="CM377" s="276"/>
      <c r="CN377" s="276"/>
      <c r="CO377" s="276"/>
      <c r="CP377" s="276"/>
      <c r="CQ377" s="276"/>
      <c r="CR377" s="276"/>
      <c r="CS377" s="276"/>
      <c r="CT377" s="276"/>
      <c r="CU377" s="276"/>
      <c r="CV377" s="276"/>
      <c r="CW377" s="276"/>
      <c r="CX377" s="276"/>
      <c r="CY377" s="276"/>
      <c r="CZ377" s="276"/>
      <c r="DA377" s="276"/>
      <c r="DB377" s="276"/>
      <c r="DC377" s="276"/>
      <c r="DD377" s="276"/>
      <c r="DE377" s="276"/>
      <c r="DF377" s="276"/>
      <c r="DG377" s="276"/>
      <c r="DH377" s="276"/>
      <c r="DI377" s="276"/>
      <c r="DJ377" s="276"/>
      <c r="DK377" s="276"/>
      <c r="DL377" s="276"/>
      <c r="DM377" s="276"/>
      <c r="DN377" s="276"/>
      <c r="DO377" s="276"/>
      <c r="DP377" s="276"/>
      <c r="DQ377" s="276"/>
      <c r="DR377" s="276"/>
      <c r="DS377" s="276"/>
      <c r="DT377" s="276"/>
      <c r="DU377" s="276"/>
      <c r="DV377" s="276"/>
      <c r="DW377" s="276"/>
      <c r="DX377" s="276"/>
      <c r="DY377" s="276"/>
      <c r="DZ377" s="276"/>
      <c r="EA377" s="276"/>
      <c r="EB377" s="276"/>
      <c r="EC377" s="276"/>
      <c r="ED377" s="276"/>
      <c r="EE377" s="276"/>
      <c r="EF377" s="276"/>
      <c r="EG377" s="276"/>
      <c r="EH377" s="276"/>
      <c r="EI377" s="276"/>
      <c r="EJ377" s="276"/>
      <c r="EK377" s="276"/>
      <c r="EL377" s="276"/>
      <c r="EM377" s="276"/>
      <c r="EN377" s="276"/>
      <c r="EO377" s="276"/>
      <c r="EP377" s="276"/>
      <c r="EQ377" s="276"/>
      <c r="ER377" s="276"/>
      <c r="ES377" s="276"/>
      <c r="ET377" s="276"/>
      <c r="EU377" s="276"/>
      <c r="EV377" s="276"/>
      <c r="EW377" s="276"/>
      <c r="EX377" s="276"/>
      <c r="EY377" s="276"/>
      <c r="EZ377" s="276"/>
      <c r="FA377" s="276"/>
      <c r="FB377" s="276"/>
      <c r="FC377" s="276"/>
      <c r="FD377" s="276"/>
      <c r="FE377" s="276"/>
      <c r="FF377" s="276"/>
      <c r="FG377" s="276"/>
      <c r="FH377" s="276"/>
      <c r="FI377" s="276"/>
      <c r="FJ377" s="276"/>
      <c r="FK377" s="276"/>
      <c r="FL377" s="276"/>
      <c r="FM377" s="276"/>
      <c r="FN377" s="276"/>
      <c r="FO377" s="276"/>
      <c r="FP377" s="276"/>
      <c r="FQ377" s="276"/>
      <c r="FR377" s="276"/>
      <c r="FS377" s="276"/>
      <c r="FT377" s="276"/>
      <c r="FU377" s="276"/>
      <c r="FV377" s="276"/>
      <c r="FW377" s="276"/>
      <c r="FX377" s="276"/>
      <c r="FY377" s="276"/>
      <c r="FZ377" s="276"/>
      <c r="GA377" s="276"/>
      <c r="GB377" s="276"/>
      <c r="GC377" s="276"/>
      <c r="GD377" s="276"/>
      <c r="GE377" s="276"/>
      <c r="GF377" s="276"/>
      <c r="GG377" s="276"/>
      <c r="GH377" s="276"/>
      <c r="GI377" s="276"/>
      <c r="GJ377" s="276"/>
      <c r="GK377" s="276"/>
      <c r="GL377" s="276"/>
      <c r="GM377" s="276"/>
      <c r="GN377" s="276"/>
      <c r="GO377" s="276"/>
      <c r="GP377" s="276"/>
      <c r="GQ377" s="276"/>
      <c r="GR377" s="276"/>
      <c r="GS377" s="276"/>
      <c r="GT377" s="276"/>
      <c r="GU377" s="276"/>
      <c r="GV377" s="276"/>
      <c r="GW377" s="276"/>
      <c r="GX377" s="276"/>
      <c r="GY377" s="276"/>
      <c r="GZ377" s="276"/>
      <c r="HA377" s="276"/>
      <c r="HB377" s="276"/>
      <c r="HC377" s="276"/>
      <c r="HD377" s="276"/>
      <c r="HE377" s="276"/>
      <c r="HF377" s="276"/>
      <c r="HG377" s="276"/>
      <c r="HH377" s="276"/>
      <c r="HI377" s="276"/>
      <c r="HJ377" s="276"/>
      <c r="HK377" s="276"/>
      <c r="HL377" s="276"/>
      <c r="HM377" s="276"/>
      <c r="HN377" s="276"/>
      <c r="HO377" s="276"/>
      <c r="HP377" s="276"/>
    </row>
    <row r="378" spans="2:224" s="30" customFormat="1" x14ac:dyDescent="0.5">
      <c r="B378" s="329"/>
      <c r="C378" s="32" t="s">
        <v>120</v>
      </c>
      <c r="D378" s="165"/>
      <c r="E378" s="29"/>
      <c r="F378" s="64"/>
      <c r="G378" s="328"/>
      <c r="H378" s="276"/>
      <c r="I378" s="336"/>
      <c r="J378" s="276"/>
      <c r="K378" s="323"/>
      <c r="L378" s="325"/>
      <c r="M378" s="276"/>
      <c r="N378" s="276"/>
      <c r="O378" s="276"/>
      <c r="P378" s="276"/>
      <c r="Q378" s="276"/>
      <c r="R378" s="276"/>
      <c r="S378" s="276"/>
      <c r="T378" s="276"/>
      <c r="U378" s="276"/>
      <c r="V378" s="276"/>
      <c r="W378" s="276"/>
      <c r="X378" s="276"/>
      <c r="Y378" s="276"/>
      <c r="Z378" s="276"/>
      <c r="AA378" s="276"/>
      <c r="AB378" s="276"/>
      <c r="AC378" s="276"/>
      <c r="AD378" s="276"/>
      <c r="AE378" s="276"/>
      <c r="AF378" s="276"/>
      <c r="AG378" s="276"/>
      <c r="AH378" s="276"/>
      <c r="AI378" s="276"/>
      <c r="AJ378" s="276"/>
      <c r="AK378" s="276"/>
      <c r="AL378" s="276"/>
      <c r="AM378" s="276"/>
      <c r="AN378" s="276"/>
      <c r="AO378" s="276"/>
      <c r="AP378" s="276"/>
      <c r="AQ378" s="276"/>
      <c r="AR378" s="276"/>
      <c r="AS378" s="276"/>
      <c r="AT378" s="276"/>
      <c r="AU378" s="276"/>
      <c r="AV378" s="276"/>
      <c r="AW378" s="276"/>
      <c r="AX378" s="276"/>
      <c r="AY378" s="276"/>
      <c r="AZ378" s="276"/>
      <c r="BA378" s="276"/>
      <c r="BB378" s="276"/>
      <c r="BC378" s="276"/>
      <c r="BD378" s="276"/>
      <c r="BE378" s="276"/>
      <c r="BF378" s="276"/>
      <c r="BG378" s="276"/>
      <c r="BH378" s="276"/>
      <c r="BI378" s="276"/>
      <c r="BJ378" s="276"/>
      <c r="BK378" s="276"/>
      <c r="BL378" s="276"/>
      <c r="BM378" s="276"/>
      <c r="BN378" s="276"/>
      <c r="BO378" s="276"/>
      <c r="BP378" s="276"/>
      <c r="BQ378" s="276"/>
      <c r="BR378" s="276"/>
      <c r="BS378" s="276"/>
      <c r="BT378" s="276"/>
      <c r="BU378" s="276"/>
      <c r="BV378" s="276"/>
      <c r="BW378" s="276"/>
      <c r="BX378" s="276"/>
      <c r="BY378" s="276"/>
      <c r="BZ378" s="276"/>
      <c r="CA378" s="276"/>
      <c r="CB378" s="276"/>
      <c r="CC378" s="276"/>
      <c r="CD378" s="276"/>
      <c r="CE378" s="276"/>
      <c r="CF378" s="276"/>
      <c r="CG378" s="276"/>
      <c r="CH378" s="276"/>
      <c r="CI378" s="276"/>
      <c r="CJ378" s="276"/>
      <c r="CK378" s="276"/>
      <c r="CL378" s="276"/>
      <c r="CM378" s="276"/>
      <c r="CN378" s="276"/>
      <c r="CO378" s="276"/>
      <c r="CP378" s="276"/>
      <c r="CQ378" s="276"/>
      <c r="CR378" s="276"/>
      <c r="CS378" s="276"/>
      <c r="CT378" s="276"/>
      <c r="CU378" s="276"/>
      <c r="CV378" s="276"/>
      <c r="CW378" s="276"/>
      <c r="CX378" s="276"/>
      <c r="CY378" s="276"/>
      <c r="CZ378" s="276"/>
      <c r="DA378" s="276"/>
      <c r="DB378" s="276"/>
      <c r="DC378" s="276"/>
      <c r="DD378" s="276"/>
      <c r="DE378" s="276"/>
      <c r="DF378" s="276"/>
      <c r="DG378" s="276"/>
      <c r="DH378" s="276"/>
      <c r="DI378" s="276"/>
      <c r="DJ378" s="276"/>
      <c r="DK378" s="276"/>
      <c r="DL378" s="276"/>
      <c r="DM378" s="276"/>
      <c r="DN378" s="276"/>
      <c r="DO378" s="276"/>
      <c r="DP378" s="276"/>
      <c r="DQ378" s="276"/>
      <c r="DR378" s="276"/>
      <c r="DS378" s="276"/>
      <c r="DT378" s="276"/>
      <c r="DU378" s="276"/>
      <c r="DV378" s="276"/>
      <c r="DW378" s="276"/>
      <c r="DX378" s="276"/>
      <c r="DY378" s="276"/>
      <c r="DZ378" s="276"/>
      <c r="EA378" s="276"/>
      <c r="EB378" s="276"/>
      <c r="EC378" s="276"/>
      <c r="ED378" s="276"/>
      <c r="EE378" s="276"/>
      <c r="EF378" s="276"/>
      <c r="EG378" s="276"/>
      <c r="EH378" s="276"/>
      <c r="EI378" s="276"/>
      <c r="EJ378" s="276"/>
      <c r="EK378" s="276"/>
      <c r="EL378" s="276"/>
      <c r="EM378" s="276"/>
      <c r="EN378" s="276"/>
      <c r="EO378" s="276"/>
      <c r="EP378" s="276"/>
      <c r="EQ378" s="276"/>
      <c r="ER378" s="276"/>
      <c r="ES378" s="276"/>
      <c r="ET378" s="276"/>
      <c r="EU378" s="276"/>
      <c r="EV378" s="276"/>
      <c r="EW378" s="276"/>
      <c r="EX378" s="276"/>
      <c r="EY378" s="276"/>
      <c r="EZ378" s="276"/>
      <c r="FA378" s="276"/>
      <c r="FB378" s="276"/>
      <c r="FC378" s="276"/>
      <c r="FD378" s="276"/>
      <c r="FE378" s="276"/>
      <c r="FF378" s="276"/>
      <c r="FG378" s="276"/>
      <c r="FH378" s="276"/>
      <c r="FI378" s="276"/>
      <c r="FJ378" s="276"/>
      <c r="FK378" s="276"/>
      <c r="FL378" s="276"/>
      <c r="FM378" s="276"/>
      <c r="FN378" s="276"/>
      <c r="FO378" s="276"/>
      <c r="FP378" s="276"/>
      <c r="FQ378" s="276"/>
      <c r="FR378" s="276"/>
      <c r="FS378" s="276"/>
      <c r="FT378" s="276"/>
      <c r="FU378" s="276"/>
      <c r="FV378" s="276"/>
      <c r="FW378" s="276"/>
      <c r="FX378" s="276"/>
      <c r="FY378" s="276"/>
      <c r="FZ378" s="276"/>
      <c r="GA378" s="276"/>
      <c r="GB378" s="276"/>
      <c r="GC378" s="276"/>
      <c r="GD378" s="276"/>
      <c r="GE378" s="276"/>
      <c r="GF378" s="276"/>
      <c r="GG378" s="276"/>
      <c r="GH378" s="276"/>
      <c r="GI378" s="276"/>
      <c r="GJ378" s="276"/>
      <c r="GK378" s="276"/>
      <c r="GL378" s="276"/>
      <c r="GM378" s="276"/>
      <c r="GN378" s="276"/>
      <c r="GO378" s="276"/>
      <c r="GP378" s="276"/>
      <c r="GQ378" s="276"/>
      <c r="GR378" s="276"/>
      <c r="GS378" s="276"/>
      <c r="GT378" s="276"/>
      <c r="GU378" s="276"/>
      <c r="GV378" s="276"/>
      <c r="GW378" s="276"/>
      <c r="GX378" s="276"/>
      <c r="GY378" s="276"/>
      <c r="GZ378" s="276"/>
      <c r="HA378" s="276"/>
      <c r="HB378" s="276"/>
      <c r="HC378" s="276"/>
      <c r="HD378" s="276"/>
      <c r="HE378" s="276"/>
      <c r="HF378" s="276"/>
      <c r="HG378" s="276"/>
      <c r="HH378" s="276"/>
      <c r="HI378" s="276"/>
      <c r="HJ378" s="276"/>
      <c r="HK378" s="276"/>
      <c r="HL378" s="276"/>
      <c r="HM378" s="276"/>
      <c r="HN378" s="276"/>
      <c r="HO378" s="276"/>
      <c r="HP378" s="276"/>
    </row>
    <row r="379" spans="2:224" s="30" customFormat="1" x14ac:dyDescent="0.5">
      <c r="B379" s="329"/>
      <c r="C379" s="32"/>
      <c r="D379" s="165"/>
      <c r="E379" s="29"/>
      <c r="F379" s="64"/>
      <c r="G379" s="328"/>
      <c r="H379" s="276"/>
      <c r="I379" s="336"/>
      <c r="J379" s="276"/>
      <c r="K379" s="323"/>
      <c r="L379" s="325"/>
      <c r="M379" s="276"/>
      <c r="N379" s="276"/>
      <c r="O379" s="276"/>
      <c r="P379" s="276"/>
      <c r="Q379" s="276"/>
      <c r="R379" s="276"/>
      <c r="S379" s="276"/>
      <c r="T379" s="276"/>
      <c r="U379" s="276"/>
      <c r="V379" s="276"/>
      <c r="W379" s="276"/>
      <c r="X379" s="276"/>
      <c r="Y379" s="276"/>
      <c r="Z379" s="276"/>
      <c r="AA379" s="276"/>
      <c r="AB379" s="276"/>
      <c r="AC379" s="276"/>
      <c r="AD379" s="276"/>
      <c r="AE379" s="276"/>
      <c r="AF379" s="276"/>
      <c r="AG379" s="276"/>
      <c r="AH379" s="276"/>
      <c r="AI379" s="276"/>
      <c r="AJ379" s="276"/>
      <c r="AK379" s="276"/>
      <c r="AL379" s="276"/>
      <c r="AM379" s="276"/>
      <c r="AN379" s="276"/>
      <c r="AO379" s="276"/>
      <c r="AP379" s="276"/>
      <c r="AQ379" s="276"/>
      <c r="AR379" s="276"/>
      <c r="AS379" s="276"/>
      <c r="AT379" s="276"/>
      <c r="AU379" s="276"/>
      <c r="AV379" s="276"/>
      <c r="AW379" s="276"/>
      <c r="AX379" s="276"/>
      <c r="AY379" s="276"/>
      <c r="AZ379" s="276"/>
      <c r="BA379" s="276"/>
      <c r="BB379" s="276"/>
      <c r="BC379" s="276"/>
      <c r="BD379" s="276"/>
      <c r="BE379" s="276"/>
      <c r="BF379" s="276"/>
      <c r="BG379" s="276"/>
      <c r="BH379" s="276"/>
      <c r="BI379" s="276"/>
      <c r="BJ379" s="276"/>
      <c r="BK379" s="276"/>
      <c r="BL379" s="276"/>
      <c r="BM379" s="276"/>
      <c r="BN379" s="276"/>
      <c r="BO379" s="276"/>
      <c r="BP379" s="276"/>
      <c r="BQ379" s="276"/>
      <c r="BR379" s="276"/>
      <c r="BS379" s="276"/>
      <c r="BT379" s="276"/>
      <c r="BU379" s="276"/>
      <c r="BV379" s="276"/>
      <c r="BW379" s="276"/>
      <c r="BX379" s="276"/>
      <c r="BY379" s="276"/>
      <c r="BZ379" s="276"/>
      <c r="CA379" s="276"/>
      <c r="CB379" s="276"/>
      <c r="CC379" s="276"/>
      <c r="CD379" s="276"/>
      <c r="CE379" s="276"/>
      <c r="CF379" s="276"/>
      <c r="CG379" s="276"/>
      <c r="CH379" s="276"/>
      <c r="CI379" s="276"/>
      <c r="CJ379" s="276"/>
      <c r="CK379" s="276"/>
      <c r="CL379" s="276"/>
      <c r="CM379" s="276"/>
      <c r="CN379" s="276"/>
      <c r="CO379" s="276"/>
      <c r="CP379" s="276"/>
      <c r="CQ379" s="276"/>
      <c r="CR379" s="276"/>
      <c r="CS379" s="276"/>
      <c r="CT379" s="276"/>
      <c r="CU379" s="276"/>
      <c r="CV379" s="276"/>
      <c r="CW379" s="276"/>
      <c r="CX379" s="276"/>
      <c r="CY379" s="276"/>
      <c r="CZ379" s="276"/>
      <c r="DA379" s="276"/>
      <c r="DB379" s="276"/>
      <c r="DC379" s="276"/>
      <c r="DD379" s="276"/>
      <c r="DE379" s="276"/>
      <c r="DF379" s="276"/>
      <c r="DG379" s="276"/>
      <c r="DH379" s="276"/>
      <c r="DI379" s="276"/>
      <c r="DJ379" s="276"/>
      <c r="DK379" s="276"/>
      <c r="DL379" s="276"/>
      <c r="DM379" s="276"/>
      <c r="DN379" s="276"/>
      <c r="DO379" s="276"/>
      <c r="DP379" s="276"/>
      <c r="DQ379" s="276"/>
      <c r="DR379" s="276"/>
      <c r="DS379" s="276"/>
      <c r="DT379" s="276"/>
      <c r="DU379" s="276"/>
      <c r="DV379" s="276"/>
      <c r="DW379" s="276"/>
      <c r="DX379" s="276"/>
      <c r="DY379" s="276"/>
      <c r="DZ379" s="276"/>
      <c r="EA379" s="276"/>
      <c r="EB379" s="276"/>
      <c r="EC379" s="276"/>
      <c r="ED379" s="276"/>
      <c r="EE379" s="276"/>
      <c r="EF379" s="276"/>
      <c r="EG379" s="276"/>
      <c r="EH379" s="276"/>
      <c r="EI379" s="276"/>
      <c r="EJ379" s="276"/>
      <c r="EK379" s="276"/>
      <c r="EL379" s="276"/>
      <c r="EM379" s="276"/>
      <c r="EN379" s="276"/>
      <c r="EO379" s="276"/>
      <c r="EP379" s="276"/>
      <c r="EQ379" s="276"/>
      <c r="ER379" s="276"/>
      <c r="ES379" s="276"/>
      <c r="ET379" s="276"/>
      <c r="EU379" s="276"/>
      <c r="EV379" s="276"/>
      <c r="EW379" s="276"/>
      <c r="EX379" s="276"/>
      <c r="EY379" s="276"/>
      <c r="EZ379" s="276"/>
      <c r="FA379" s="276"/>
      <c r="FB379" s="276"/>
      <c r="FC379" s="276"/>
      <c r="FD379" s="276"/>
      <c r="FE379" s="276"/>
      <c r="FF379" s="276"/>
      <c r="FG379" s="276"/>
      <c r="FH379" s="276"/>
      <c r="FI379" s="276"/>
      <c r="FJ379" s="276"/>
      <c r="FK379" s="276"/>
      <c r="FL379" s="276"/>
      <c r="FM379" s="276"/>
      <c r="FN379" s="276"/>
      <c r="FO379" s="276"/>
      <c r="FP379" s="276"/>
      <c r="FQ379" s="276"/>
      <c r="FR379" s="276"/>
      <c r="FS379" s="276"/>
      <c r="FT379" s="276"/>
      <c r="FU379" s="276"/>
      <c r="FV379" s="276"/>
      <c r="FW379" s="276"/>
      <c r="FX379" s="276"/>
      <c r="FY379" s="276"/>
      <c r="FZ379" s="276"/>
      <c r="GA379" s="276"/>
      <c r="GB379" s="276"/>
      <c r="GC379" s="276"/>
      <c r="GD379" s="276"/>
      <c r="GE379" s="276"/>
      <c r="GF379" s="276"/>
      <c r="GG379" s="276"/>
      <c r="GH379" s="276"/>
      <c r="GI379" s="276"/>
      <c r="GJ379" s="276"/>
      <c r="GK379" s="276"/>
      <c r="GL379" s="276"/>
      <c r="GM379" s="276"/>
      <c r="GN379" s="276"/>
      <c r="GO379" s="276"/>
      <c r="GP379" s="276"/>
      <c r="GQ379" s="276"/>
      <c r="GR379" s="276"/>
      <c r="GS379" s="276"/>
      <c r="GT379" s="276"/>
      <c r="GU379" s="276"/>
      <c r="GV379" s="276"/>
      <c r="GW379" s="276"/>
      <c r="GX379" s="276"/>
      <c r="GY379" s="276"/>
      <c r="GZ379" s="276"/>
      <c r="HA379" s="276"/>
      <c r="HB379" s="276"/>
      <c r="HC379" s="276"/>
      <c r="HD379" s="276"/>
      <c r="HE379" s="276"/>
      <c r="HF379" s="276"/>
      <c r="HG379" s="276"/>
      <c r="HH379" s="276"/>
      <c r="HI379" s="276"/>
      <c r="HJ379" s="276"/>
      <c r="HK379" s="276"/>
      <c r="HL379" s="276"/>
      <c r="HM379" s="276"/>
      <c r="HN379" s="276"/>
      <c r="HO379" s="276"/>
      <c r="HP379" s="276"/>
    </row>
    <row r="380" spans="2:224" s="30" customFormat="1" x14ac:dyDescent="0.5">
      <c r="B380" s="327" t="s">
        <v>121</v>
      </c>
      <c r="C380" s="67" t="s">
        <v>122</v>
      </c>
      <c r="D380" s="165"/>
      <c r="E380" s="29"/>
      <c r="F380" s="64"/>
      <c r="G380" s="328"/>
      <c r="H380" s="276"/>
      <c r="I380" s="336"/>
      <c r="J380" s="276"/>
      <c r="K380" s="323"/>
      <c r="L380" s="325"/>
      <c r="M380" s="276"/>
      <c r="N380" s="276"/>
      <c r="O380" s="276"/>
      <c r="P380" s="276"/>
      <c r="Q380" s="276"/>
      <c r="R380" s="276"/>
      <c r="S380" s="276"/>
      <c r="T380" s="276"/>
      <c r="U380" s="276"/>
      <c r="V380" s="276"/>
      <c r="W380" s="276"/>
      <c r="X380" s="276"/>
      <c r="Y380" s="276"/>
      <c r="Z380" s="276"/>
      <c r="AA380" s="276"/>
      <c r="AB380" s="276"/>
      <c r="AC380" s="276"/>
      <c r="AD380" s="276"/>
      <c r="AE380" s="276"/>
      <c r="AF380" s="276"/>
      <c r="AG380" s="276"/>
      <c r="AH380" s="276"/>
      <c r="AI380" s="276"/>
      <c r="AJ380" s="276"/>
      <c r="AK380" s="276"/>
      <c r="AL380" s="276"/>
      <c r="AM380" s="276"/>
      <c r="AN380" s="276"/>
      <c r="AO380" s="276"/>
      <c r="AP380" s="276"/>
      <c r="AQ380" s="276"/>
      <c r="AR380" s="276"/>
      <c r="AS380" s="276"/>
      <c r="AT380" s="276"/>
      <c r="AU380" s="276"/>
      <c r="AV380" s="276"/>
      <c r="AW380" s="276"/>
      <c r="AX380" s="276"/>
      <c r="AY380" s="276"/>
      <c r="AZ380" s="276"/>
      <c r="BA380" s="276"/>
      <c r="BB380" s="276"/>
      <c r="BC380" s="276"/>
      <c r="BD380" s="276"/>
      <c r="BE380" s="276"/>
      <c r="BF380" s="276"/>
      <c r="BG380" s="276"/>
      <c r="BH380" s="276"/>
      <c r="BI380" s="276"/>
      <c r="BJ380" s="276"/>
      <c r="BK380" s="276"/>
      <c r="BL380" s="276"/>
      <c r="BM380" s="276"/>
      <c r="BN380" s="276"/>
      <c r="BO380" s="276"/>
      <c r="BP380" s="276"/>
      <c r="BQ380" s="276"/>
      <c r="BR380" s="276"/>
      <c r="BS380" s="276"/>
      <c r="BT380" s="276"/>
      <c r="BU380" s="276"/>
      <c r="BV380" s="276"/>
      <c r="BW380" s="276"/>
      <c r="BX380" s="276"/>
      <c r="BY380" s="276"/>
      <c r="BZ380" s="276"/>
      <c r="CA380" s="276"/>
      <c r="CB380" s="276"/>
      <c r="CC380" s="276"/>
      <c r="CD380" s="276"/>
      <c r="CE380" s="276"/>
      <c r="CF380" s="276"/>
      <c r="CG380" s="276"/>
      <c r="CH380" s="276"/>
      <c r="CI380" s="276"/>
      <c r="CJ380" s="276"/>
      <c r="CK380" s="276"/>
      <c r="CL380" s="276"/>
      <c r="CM380" s="276"/>
      <c r="CN380" s="276"/>
      <c r="CO380" s="276"/>
      <c r="CP380" s="276"/>
      <c r="CQ380" s="276"/>
      <c r="CR380" s="276"/>
      <c r="CS380" s="276"/>
      <c r="CT380" s="276"/>
      <c r="CU380" s="276"/>
      <c r="CV380" s="276"/>
      <c r="CW380" s="276"/>
      <c r="CX380" s="276"/>
      <c r="CY380" s="276"/>
      <c r="CZ380" s="276"/>
      <c r="DA380" s="276"/>
      <c r="DB380" s="276"/>
      <c r="DC380" s="276"/>
      <c r="DD380" s="276"/>
      <c r="DE380" s="276"/>
      <c r="DF380" s="276"/>
      <c r="DG380" s="276"/>
      <c r="DH380" s="276"/>
      <c r="DI380" s="276"/>
      <c r="DJ380" s="276"/>
      <c r="DK380" s="276"/>
      <c r="DL380" s="276"/>
      <c r="DM380" s="276"/>
      <c r="DN380" s="276"/>
      <c r="DO380" s="276"/>
      <c r="DP380" s="276"/>
      <c r="DQ380" s="276"/>
      <c r="DR380" s="276"/>
      <c r="DS380" s="276"/>
      <c r="DT380" s="276"/>
      <c r="DU380" s="276"/>
      <c r="DV380" s="276"/>
      <c r="DW380" s="276"/>
      <c r="DX380" s="276"/>
      <c r="DY380" s="276"/>
      <c r="DZ380" s="276"/>
      <c r="EA380" s="276"/>
      <c r="EB380" s="276"/>
      <c r="EC380" s="276"/>
      <c r="ED380" s="276"/>
      <c r="EE380" s="276"/>
      <c r="EF380" s="276"/>
      <c r="EG380" s="276"/>
      <c r="EH380" s="276"/>
      <c r="EI380" s="276"/>
      <c r="EJ380" s="276"/>
      <c r="EK380" s="276"/>
      <c r="EL380" s="276"/>
      <c r="EM380" s="276"/>
      <c r="EN380" s="276"/>
      <c r="EO380" s="276"/>
      <c r="EP380" s="276"/>
      <c r="EQ380" s="276"/>
      <c r="ER380" s="276"/>
      <c r="ES380" s="276"/>
      <c r="ET380" s="276"/>
      <c r="EU380" s="276"/>
      <c r="EV380" s="276"/>
      <c r="EW380" s="276"/>
      <c r="EX380" s="276"/>
      <c r="EY380" s="276"/>
      <c r="EZ380" s="276"/>
      <c r="FA380" s="276"/>
      <c r="FB380" s="276"/>
      <c r="FC380" s="276"/>
      <c r="FD380" s="276"/>
      <c r="FE380" s="276"/>
      <c r="FF380" s="276"/>
      <c r="FG380" s="276"/>
      <c r="FH380" s="276"/>
      <c r="FI380" s="276"/>
      <c r="FJ380" s="276"/>
      <c r="FK380" s="276"/>
      <c r="FL380" s="276"/>
      <c r="FM380" s="276"/>
      <c r="FN380" s="276"/>
      <c r="FO380" s="276"/>
      <c r="FP380" s="276"/>
      <c r="FQ380" s="276"/>
      <c r="FR380" s="276"/>
      <c r="FS380" s="276"/>
      <c r="FT380" s="276"/>
      <c r="FU380" s="276"/>
      <c r="FV380" s="276"/>
      <c r="FW380" s="276"/>
      <c r="FX380" s="276"/>
      <c r="FY380" s="276"/>
      <c r="FZ380" s="276"/>
      <c r="GA380" s="276"/>
      <c r="GB380" s="276"/>
      <c r="GC380" s="276"/>
      <c r="GD380" s="276"/>
      <c r="GE380" s="276"/>
      <c r="GF380" s="276"/>
      <c r="GG380" s="276"/>
      <c r="GH380" s="276"/>
      <c r="GI380" s="276"/>
      <c r="GJ380" s="276"/>
      <c r="GK380" s="276"/>
      <c r="GL380" s="276"/>
      <c r="GM380" s="276"/>
      <c r="GN380" s="276"/>
      <c r="GO380" s="276"/>
      <c r="GP380" s="276"/>
      <c r="GQ380" s="276"/>
      <c r="GR380" s="276"/>
      <c r="GS380" s="276"/>
      <c r="GT380" s="276"/>
      <c r="GU380" s="276"/>
      <c r="GV380" s="276"/>
      <c r="GW380" s="276"/>
      <c r="GX380" s="276"/>
      <c r="GY380" s="276"/>
      <c r="GZ380" s="276"/>
      <c r="HA380" s="276"/>
      <c r="HB380" s="276"/>
      <c r="HC380" s="276"/>
      <c r="HD380" s="276"/>
      <c r="HE380" s="276"/>
      <c r="HF380" s="276"/>
      <c r="HG380" s="276"/>
      <c r="HH380" s="276"/>
      <c r="HI380" s="276"/>
      <c r="HJ380" s="276"/>
      <c r="HK380" s="276"/>
      <c r="HL380" s="276"/>
      <c r="HM380" s="276"/>
      <c r="HN380" s="276"/>
      <c r="HO380" s="276"/>
      <c r="HP380" s="276"/>
    </row>
    <row r="381" spans="2:224" s="30" customFormat="1" x14ac:dyDescent="0.5">
      <c r="B381" s="329"/>
      <c r="C381" s="32" t="s">
        <v>123</v>
      </c>
      <c r="D381" s="165"/>
      <c r="E381" s="29"/>
      <c r="F381" s="64"/>
      <c r="G381" s="328"/>
      <c r="H381" s="276"/>
      <c r="I381" s="336"/>
      <c r="J381" s="276"/>
      <c r="K381" s="323"/>
      <c r="L381" s="325"/>
      <c r="M381" s="276"/>
      <c r="N381" s="276"/>
      <c r="O381" s="276"/>
      <c r="P381" s="276"/>
      <c r="Q381" s="276"/>
      <c r="R381" s="276"/>
      <c r="S381" s="276"/>
      <c r="T381" s="276"/>
      <c r="U381" s="276"/>
      <c r="V381" s="276"/>
      <c r="W381" s="276"/>
      <c r="X381" s="276"/>
      <c r="Y381" s="276"/>
      <c r="Z381" s="276"/>
      <c r="AA381" s="276"/>
      <c r="AB381" s="276"/>
      <c r="AC381" s="276"/>
      <c r="AD381" s="276"/>
      <c r="AE381" s="276"/>
      <c r="AF381" s="276"/>
      <c r="AG381" s="276"/>
      <c r="AH381" s="276"/>
      <c r="AI381" s="276"/>
      <c r="AJ381" s="276"/>
      <c r="AK381" s="276"/>
      <c r="AL381" s="276"/>
      <c r="AM381" s="276"/>
      <c r="AN381" s="276"/>
      <c r="AO381" s="276"/>
      <c r="AP381" s="276"/>
      <c r="AQ381" s="276"/>
      <c r="AR381" s="276"/>
      <c r="AS381" s="276"/>
      <c r="AT381" s="276"/>
      <c r="AU381" s="276"/>
      <c r="AV381" s="276"/>
      <c r="AW381" s="276"/>
      <c r="AX381" s="276"/>
      <c r="AY381" s="276"/>
      <c r="AZ381" s="276"/>
      <c r="BA381" s="276"/>
      <c r="BB381" s="276"/>
      <c r="BC381" s="276"/>
      <c r="BD381" s="276"/>
      <c r="BE381" s="276"/>
      <c r="BF381" s="276"/>
      <c r="BG381" s="276"/>
      <c r="BH381" s="276"/>
      <c r="BI381" s="276"/>
      <c r="BJ381" s="276"/>
      <c r="BK381" s="276"/>
      <c r="BL381" s="276"/>
      <c r="BM381" s="276"/>
      <c r="BN381" s="276"/>
      <c r="BO381" s="276"/>
      <c r="BP381" s="276"/>
      <c r="BQ381" s="276"/>
      <c r="BR381" s="276"/>
      <c r="BS381" s="276"/>
      <c r="BT381" s="276"/>
      <c r="BU381" s="276"/>
      <c r="BV381" s="276"/>
      <c r="BW381" s="276"/>
      <c r="BX381" s="276"/>
      <c r="BY381" s="276"/>
      <c r="BZ381" s="276"/>
      <c r="CA381" s="276"/>
      <c r="CB381" s="276"/>
      <c r="CC381" s="276"/>
      <c r="CD381" s="276"/>
      <c r="CE381" s="276"/>
      <c r="CF381" s="276"/>
      <c r="CG381" s="276"/>
      <c r="CH381" s="276"/>
      <c r="CI381" s="276"/>
      <c r="CJ381" s="276"/>
      <c r="CK381" s="276"/>
      <c r="CL381" s="276"/>
      <c r="CM381" s="276"/>
      <c r="CN381" s="276"/>
      <c r="CO381" s="276"/>
      <c r="CP381" s="276"/>
      <c r="CQ381" s="276"/>
      <c r="CR381" s="276"/>
      <c r="CS381" s="276"/>
      <c r="CT381" s="276"/>
      <c r="CU381" s="276"/>
      <c r="CV381" s="276"/>
      <c r="CW381" s="276"/>
      <c r="CX381" s="276"/>
      <c r="CY381" s="276"/>
      <c r="CZ381" s="276"/>
      <c r="DA381" s="276"/>
      <c r="DB381" s="276"/>
      <c r="DC381" s="276"/>
      <c r="DD381" s="276"/>
      <c r="DE381" s="276"/>
      <c r="DF381" s="276"/>
      <c r="DG381" s="276"/>
      <c r="DH381" s="276"/>
      <c r="DI381" s="276"/>
      <c r="DJ381" s="276"/>
      <c r="DK381" s="276"/>
      <c r="DL381" s="276"/>
      <c r="DM381" s="276"/>
      <c r="DN381" s="276"/>
      <c r="DO381" s="276"/>
      <c r="DP381" s="276"/>
      <c r="DQ381" s="276"/>
      <c r="DR381" s="276"/>
      <c r="DS381" s="276"/>
      <c r="DT381" s="276"/>
      <c r="DU381" s="276"/>
      <c r="DV381" s="276"/>
      <c r="DW381" s="276"/>
      <c r="DX381" s="276"/>
      <c r="DY381" s="276"/>
      <c r="DZ381" s="276"/>
      <c r="EA381" s="276"/>
      <c r="EB381" s="276"/>
      <c r="EC381" s="276"/>
      <c r="ED381" s="276"/>
      <c r="EE381" s="276"/>
      <c r="EF381" s="276"/>
      <c r="EG381" s="276"/>
      <c r="EH381" s="276"/>
      <c r="EI381" s="276"/>
      <c r="EJ381" s="276"/>
      <c r="EK381" s="276"/>
      <c r="EL381" s="276"/>
      <c r="EM381" s="276"/>
      <c r="EN381" s="276"/>
      <c r="EO381" s="276"/>
      <c r="EP381" s="276"/>
      <c r="EQ381" s="276"/>
      <c r="ER381" s="276"/>
      <c r="ES381" s="276"/>
      <c r="ET381" s="276"/>
      <c r="EU381" s="276"/>
      <c r="EV381" s="276"/>
      <c r="EW381" s="276"/>
      <c r="EX381" s="276"/>
      <c r="EY381" s="276"/>
      <c r="EZ381" s="276"/>
      <c r="FA381" s="276"/>
      <c r="FB381" s="276"/>
      <c r="FC381" s="276"/>
      <c r="FD381" s="276"/>
      <c r="FE381" s="276"/>
      <c r="FF381" s="276"/>
      <c r="FG381" s="276"/>
      <c r="FH381" s="276"/>
      <c r="FI381" s="276"/>
      <c r="FJ381" s="276"/>
      <c r="FK381" s="276"/>
      <c r="FL381" s="276"/>
      <c r="FM381" s="276"/>
      <c r="FN381" s="276"/>
      <c r="FO381" s="276"/>
      <c r="FP381" s="276"/>
      <c r="FQ381" s="276"/>
      <c r="FR381" s="276"/>
      <c r="FS381" s="276"/>
      <c r="FT381" s="276"/>
      <c r="FU381" s="276"/>
      <c r="FV381" s="276"/>
      <c r="FW381" s="276"/>
      <c r="FX381" s="276"/>
      <c r="FY381" s="276"/>
      <c r="FZ381" s="276"/>
      <c r="GA381" s="276"/>
      <c r="GB381" s="276"/>
      <c r="GC381" s="276"/>
      <c r="GD381" s="276"/>
      <c r="GE381" s="276"/>
      <c r="GF381" s="276"/>
      <c r="GG381" s="276"/>
      <c r="GH381" s="276"/>
      <c r="GI381" s="276"/>
      <c r="GJ381" s="276"/>
      <c r="GK381" s="276"/>
      <c r="GL381" s="276"/>
      <c r="GM381" s="276"/>
      <c r="GN381" s="276"/>
      <c r="GO381" s="276"/>
      <c r="GP381" s="276"/>
      <c r="GQ381" s="276"/>
      <c r="GR381" s="276"/>
      <c r="GS381" s="276"/>
      <c r="GT381" s="276"/>
      <c r="GU381" s="276"/>
      <c r="GV381" s="276"/>
      <c r="GW381" s="276"/>
      <c r="GX381" s="276"/>
      <c r="GY381" s="276"/>
      <c r="GZ381" s="276"/>
      <c r="HA381" s="276"/>
      <c r="HB381" s="276"/>
      <c r="HC381" s="276"/>
      <c r="HD381" s="276"/>
      <c r="HE381" s="276"/>
      <c r="HF381" s="276"/>
      <c r="HG381" s="276"/>
      <c r="HH381" s="276"/>
      <c r="HI381" s="276"/>
      <c r="HJ381" s="276"/>
      <c r="HK381" s="276"/>
      <c r="HL381" s="276"/>
      <c r="HM381" s="276"/>
      <c r="HN381" s="276"/>
      <c r="HO381" s="276"/>
      <c r="HP381" s="276"/>
    </row>
    <row r="382" spans="2:224" s="30" customFormat="1" x14ac:dyDescent="0.5">
      <c r="B382" s="329"/>
      <c r="C382" s="32"/>
      <c r="D382" s="165"/>
      <c r="E382" s="29"/>
      <c r="F382" s="64"/>
      <c r="G382" s="328"/>
      <c r="H382" s="276"/>
      <c r="I382" s="336"/>
      <c r="J382" s="276"/>
      <c r="K382" s="323"/>
      <c r="L382" s="325"/>
      <c r="M382" s="276"/>
      <c r="N382" s="276"/>
      <c r="O382" s="276"/>
      <c r="P382" s="276"/>
      <c r="Q382" s="276"/>
      <c r="R382" s="276"/>
      <c r="S382" s="276"/>
      <c r="T382" s="276"/>
      <c r="U382" s="276"/>
      <c r="V382" s="276"/>
      <c r="W382" s="276"/>
      <c r="X382" s="276"/>
      <c r="Y382" s="276"/>
      <c r="Z382" s="276"/>
      <c r="AA382" s="276"/>
      <c r="AB382" s="276"/>
      <c r="AC382" s="276"/>
      <c r="AD382" s="276"/>
      <c r="AE382" s="276"/>
      <c r="AF382" s="276"/>
      <c r="AG382" s="276"/>
      <c r="AH382" s="276"/>
      <c r="AI382" s="276"/>
      <c r="AJ382" s="276"/>
      <c r="AK382" s="276"/>
      <c r="AL382" s="276"/>
      <c r="AM382" s="276"/>
      <c r="AN382" s="276"/>
      <c r="AO382" s="276"/>
      <c r="AP382" s="276"/>
      <c r="AQ382" s="276"/>
      <c r="AR382" s="276"/>
      <c r="AS382" s="276"/>
      <c r="AT382" s="276"/>
      <c r="AU382" s="276"/>
      <c r="AV382" s="276"/>
      <c r="AW382" s="276"/>
      <c r="AX382" s="276"/>
      <c r="AY382" s="276"/>
      <c r="AZ382" s="276"/>
      <c r="BA382" s="276"/>
      <c r="BB382" s="276"/>
      <c r="BC382" s="276"/>
      <c r="BD382" s="276"/>
      <c r="BE382" s="276"/>
      <c r="BF382" s="276"/>
      <c r="BG382" s="276"/>
      <c r="BH382" s="276"/>
      <c r="BI382" s="276"/>
      <c r="BJ382" s="276"/>
      <c r="BK382" s="276"/>
      <c r="BL382" s="276"/>
      <c r="BM382" s="276"/>
      <c r="BN382" s="276"/>
      <c r="BO382" s="276"/>
      <c r="BP382" s="276"/>
      <c r="BQ382" s="276"/>
      <c r="BR382" s="276"/>
      <c r="BS382" s="276"/>
      <c r="BT382" s="276"/>
      <c r="BU382" s="276"/>
      <c r="BV382" s="276"/>
      <c r="BW382" s="276"/>
      <c r="BX382" s="276"/>
      <c r="BY382" s="276"/>
      <c r="BZ382" s="276"/>
      <c r="CA382" s="276"/>
      <c r="CB382" s="276"/>
      <c r="CC382" s="276"/>
      <c r="CD382" s="276"/>
      <c r="CE382" s="276"/>
      <c r="CF382" s="276"/>
      <c r="CG382" s="276"/>
      <c r="CH382" s="276"/>
      <c r="CI382" s="276"/>
      <c r="CJ382" s="276"/>
      <c r="CK382" s="276"/>
      <c r="CL382" s="276"/>
      <c r="CM382" s="276"/>
      <c r="CN382" s="276"/>
      <c r="CO382" s="276"/>
      <c r="CP382" s="276"/>
      <c r="CQ382" s="276"/>
      <c r="CR382" s="276"/>
      <c r="CS382" s="276"/>
      <c r="CT382" s="276"/>
      <c r="CU382" s="276"/>
      <c r="CV382" s="276"/>
      <c r="CW382" s="276"/>
      <c r="CX382" s="276"/>
      <c r="CY382" s="276"/>
      <c r="CZ382" s="276"/>
      <c r="DA382" s="276"/>
      <c r="DB382" s="276"/>
      <c r="DC382" s="276"/>
      <c r="DD382" s="276"/>
      <c r="DE382" s="276"/>
      <c r="DF382" s="276"/>
      <c r="DG382" s="276"/>
      <c r="DH382" s="276"/>
      <c r="DI382" s="276"/>
      <c r="DJ382" s="276"/>
      <c r="DK382" s="276"/>
      <c r="DL382" s="276"/>
      <c r="DM382" s="276"/>
      <c r="DN382" s="276"/>
      <c r="DO382" s="276"/>
      <c r="DP382" s="276"/>
      <c r="DQ382" s="276"/>
      <c r="DR382" s="276"/>
      <c r="DS382" s="276"/>
      <c r="DT382" s="276"/>
      <c r="DU382" s="276"/>
      <c r="DV382" s="276"/>
      <c r="DW382" s="276"/>
      <c r="DX382" s="276"/>
      <c r="DY382" s="276"/>
      <c r="DZ382" s="276"/>
      <c r="EA382" s="276"/>
      <c r="EB382" s="276"/>
      <c r="EC382" s="276"/>
      <c r="ED382" s="276"/>
      <c r="EE382" s="276"/>
      <c r="EF382" s="276"/>
      <c r="EG382" s="276"/>
      <c r="EH382" s="276"/>
      <c r="EI382" s="276"/>
      <c r="EJ382" s="276"/>
      <c r="EK382" s="276"/>
      <c r="EL382" s="276"/>
      <c r="EM382" s="276"/>
      <c r="EN382" s="276"/>
      <c r="EO382" s="276"/>
      <c r="EP382" s="276"/>
      <c r="EQ382" s="276"/>
      <c r="ER382" s="276"/>
      <c r="ES382" s="276"/>
      <c r="ET382" s="276"/>
      <c r="EU382" s="276"/>
      <c r="EV382" s="276"/>
      <c r="EW382" s="276"/>
      <c r="EX382" s="276"/>
      <c r="EY382" s="276"/>
      <c r="EZ382" s="276"/>
      <c r="FA382" s="276"/>
      <c r="FB382" s="276"/>
      <c r="FC382" s="276"/>
      <c r="FD382" s="276"/>
      <c r="FE382" s="276"/>
      <c r="FF382" s="276"/>
      <c r="FG382" s="276"/>
      <c r="FH382" s="276"/>
      <c r="FI382" s="276"/>
      <c r="FJ382" s="276"/>
      <c r="FK382" s="276"/>
      <c r="FL382" s="276"/>
      <c r="FM382" s="276"/>
      <c r="FN382" s="276"/>
      <c r="FO382" s="276"/>
      <c r="FP382" s="276"/>
      <c r="FQ382" s="276"/>
      <c r="FR382" s="276"/>
      <c r="FS382" s="276"/>
      <c r="FT382" s="276"/>
      <c r="FU382" s="276"/>
      <c r="FV382" s="276"/>
      <c r="FW382" s="276"/>
      <c r="FX382" s="276"/>
      <c r="FY382" s="276"/>
      <c r="FZ382" s="276"/>
      <c r="GA382" s="276"/>
      <c r="GB382" s="276"/>
      <c r="GC382" s="276"/>
      <c r="GD382" s="276"/>
      <c r="GE382" s="276"/>
      <c r="GF382" s="276"/>
      <c r="GG382" s="276"/>
      <c r="GH382" s="276"/>
      <c r="GI382" s="276"/>
      <c r="GJ382" s="276"/>
      <c r="GK382" s="276"/>
      <c r="GL382" s="276"/>
      <c r="GM382" s="276"/>
      <c r="GN382" s="276"/>
      <c r="GO382" s="276"/>
      <c r="GP382" s="276"/>
      <c r="GQ382" s="276"/>
      <c r="GR382" s="276"/>
      <c r="GS382" s="276"/>
      <c r="GT382" s="276"/>
      <c r="GU382" s="276"/>
      <c r="GV382" s="276"/>
      <c r="GW382" s="276"/>
      <c r="GX382" s="276"/>
      <c r="GY382" s="276"/>
      <c r="GZ382" s="276"/>
      <c r="HA382" s="276"/>
      <c r="HB382" s="276"/>
      <c r="HC382" s="276"/>
      <c r="HD382" s="276"/>
      <c r="HE382" s="276"/>
      <c r="HF382" s="276"/>
      <c r="HG382" s="276"/>
      <c r="HH382" s="276"/>
      <c r="HI382" s="276"/>
      <c r="HJ382" s="276"/>
      <c r="HK382" s="276"/>
      <c r="HL382" s="276"/>
      <c r="HM382" s="276"/>
      <c r="HN382" s="276"/>
      <c r="HO382" s="276"/>
      <c r="HP382" s="276"/>
    </row>
    <row r="383" spans="2:224" s="30" customFormat="1" x14ac:dyDescent="0.5">
      <c r="B383" s="327" t="s">
        <v>124</v>
      </c>
      <c r="C383" s="67" t="s">
        <v>125</v>
      </c>
      <c r="D383" s="165"/>
      <c r="E383" s="29"/>
      <c r="F383" s="64"/>
      <c r="G383" s="328"/>
      <c r="H383" s="276"/>
      <c r="I383" s="336"/>
      <c r="J383" s="276"/>
      <c r="K383" s="323"/>
      <c r="L383" s="325"/>
      <c r="M383" s="276"/>
      <c r="N383" s="276"/>
      <c r="O383" s="276"/>
      <c r="P383" s="276"/>
      <c r="Q383" s="276"/>
      <c r="R383" s="276"/>
      <c r="S383" s="276"/>
      <c r="T383" s="276"/>
      <c r="U383" s="276"/>
      <c r="V383" s="276"/>
      <c r="W383" s="276"/>
      <c r="X383" s="276"/>
      <c r="Y383" s="276"/>
      <c r="Z383" s="276"/>
      <c r="AA383" s="276"/>
      <c r="AB383" s="276"/>
      <c r="AC383" s="276"/>
      <c r="AD383" s="276"/>
      <c r="AE383" s="276"/>
      <c r="AF383" s="276"/>
      <c r="AG383" s="276"/>
      <c r="AH383" s="276"/>
      <c r="AI383" s="276"/>
      <c r="AJ383" s="276"/>
      <c r="AK383" s="276"/>
      <c r="AL383" s="276"/>
      <c r="AM383" s="276"/>
      <c r="AN383" s="276"/>
      <c r="AO383" s="276"/>
      <c r="AP383" s="276"/>
      <c r="AQ383" s="276"/>
      <c r="AR383" s="276"/>
      <c r="AS383" s="276"/>
      <c r="AT383" s="276"/>
      <c r="AU383" s="276"/>
      <c r="AV383" s="276"/>
      <c r="AW383" s="276"/>
      <c r="AX383" s="276"/>
      <c r="AY383" s="276"/>
      <c r="AZ383" s="276"/>
      <c r="BA383" s="276"/>
      <c r="BB383" s="276"/>
      <c r="BC383" s="276"/>
      <c r="BD383" s="276"/>
      <c r="BE383" s="276"/>
      <c r="BF383" s="276"/>
      <c r="BG383" s="276"/>
      <c r="BH383" s="276"/>
      <c r="BI383" s="276"/>
      <c r="BJ383" s="276"/>
      <c r="BK383" s="276"/>
      <c r="BL383" s="276"/>
      <c r="BM383" s="276"/>
      <c r="BN383" s="276"/>
      <c r="BO383" s="276"/>
      <c r="BP383" s="276"/>
      <c r="BQ383" s="276"/>
      <c r="BR383" s="276"/>
      <c r="BS383" s="276"/>
      <c r="BT383" s="276"/>
      <c r="BU383" s="276"/>
      <c r="BV383" s="276"/>
      <c r="BW383" s="276"/>
      <c r="BX383" s="276"/>
      <c r="BY383" s="276"/>
      <c r="BZ383" s="276"/>
      <c r="CA383" s="276"/>
      <c r="CB383" s="276"/>
      <c r="CC383" s="276"/>
      <c r="CD383" s="276"/>
      <c r="CE383" s="276"/>
      <c r="CF383" s="276"/>
      <c r="CG383" s="276"/>
      <c r="CH383" s="276"/>
      <c r="CI383" s="276"/>
      <c r="CJ383" s="276"/>
      <c r="CK383" s="276"/>
      <c r="CL383" s="276"/>
      <c r="CM383" s="276"/>
      <c r="CN383" s="276"/>
      <c r="CO383" s="276"/>
      <c r="CP383" s="276"/>
      <c r="CQ383" s="276"/>
      <c r="CR383" s="276"/>
      <c r="CS383" s="276"/>
      <c r="CT383" s="276"/>
      <c r="CU383" s="276"/>
      <c r="CV383" s="276"/>
      <c r="CW383" s="276"/>
      <c r="CX383" s="276"/>
      <c r="CY383" s="276"/>
      <c r="CZ383" s="276"/>
      <c r="DA383" s="276"/>
      <c r="DB383" s="276"/>
      <c r="DC383" s="276"/>
      <c r="DD383" s="276"/>
      <c r="DE383" s="276"/>
      <c r="DF383" s="276"/>
      <c r="DG383" s="276"/>
      <c r="DH383" s="276"/>
      <c r="DI383" s="276"/>
      <c r="DJ383" s="276"/>
      <c r="DK383" s="276"/>
      <c r="DL383" s="276"/>
      <c r="DM383" s="276"/>
      <c r="DN383" s="276"/>
      <c r="DO383" s="276"/>
      <c r="DP383" s="276"/>
      <c r="DQ383" s="276"/>
      <c r="DR383" s="276"/>
      <c r="DS383" s="276"/>
      <c r="DT383" s="276"/>
      <c r="DU383" s="276"/>
      <c r="DV383" s="276"/>
      <c r="DW383" s="276"/>
      <c r="DX383" s="276"/>
      <c r="DY383" s="276"/>
      <c r="DZ383" s="276"/>
      <c r="EA383" s="276"/>
      <c r="EB383" s="276"/>
      <c r="EC383" s="276"/>
      <c r="ED383" s="276"/>
      <c r="EE383" s="276"/>
      <c r="EF383" s="276"/>
      <c r="EG383" s="276"/>
      <c r="EH383" s="276"/>
      <c r="EI383" s="276"/>
      <c r="EJ383" s="276"/>
      <c r="EK383" s="276"/>
      <c r="EL383" s="276"/>
      <c r="EM383" s="276"/>
      <c r="EN383" s="276"/>
      <c r="EO383" s="276"/>
      <c r="EP383" s="276"/>
      <c r="EQ383" s="276"/>
      <c r="ER383" s="276"/>
      <c r="ES383" s="276"/>
      <c r="ET383" s="276"/>
      <c r="EU383" s="276"/>
      <c r="EV383" s="276"/>
      <c r="EW383" s="276"/>
      <c r="EX383" s="276"/>
      <c r="EY383" s="276"/>
      <c r="EZ383" s="276"/>
      <c r="FA383" s="276"/>
      <c r="FB383" s="276"/>
      <c r="FC383" s="276"/>
      <c r="FD383" s="276"/>
      <c r="FE383" s="276"/>
      <c r="FF383" s="276"/>
      <c r="FG383" s="276"/>
      <c r="FH383" s="276"/>
      <c r="FI383" s="276"/>
      <c r="FJ383" s="276"/>
      <c r="FK383" s="276"/>
      <c r="FL383" s="276"/>
      <c r="FM383" s="276"/>
      <c r="FN383" s="276"/>
      <c r="FO383" s="276"/>
      <c r="FP383" s="276"/>
      <c r="FQ383" s="276"/>
      <c r="FR383" s="276"/>
      <c r="FS383" s="276"/>
      <c r="FT383" s="276"/>
      <c r="FU383" s="276"/>
      <c r="FV383" s="276"/>
      <c r="FW383" s="276"/>
      <c r="FX383" s="276"/>
      <c r="FY383" s="276"/>
      <c r="FZ383" s="276"/>
      <c r="GA383" s="276"/>
      <c r="GB383" s="276"/>
      <c r="GC383" s="276"/>
      <c r="GD383" s="276"/>
      <c r="GE383" s="276"/>
      <c r="GF383" s="276"/>
      <c r="GG383" s="276"/>
      <c r="GH383" s="276"/>
      <c r="GI383" s="276"/>
      <c r="GJ383" s="276"/>
      <c r="GK383" s="276"/>
      <c r="GL383" s="276"/>
      <c r="GM383" s="276"/>
      <c r="GN383" s="276"/>
      <c r="GO383" s="276"/>
      <c r="GP383" s="276"/>
      <c r="GQ383" s="276"/>
      <c r="GR383" s="276"/>
      <c r="GS383" s="276"/>
      <c r="GT383" s="276"/>
      <c r="GU383" s="276"/>
      <c r="GV383" s="276"/>
      <c r="GW383" s="276"/>
      <c r="GX383" s="276"/>
      <c r="GY383" s="276"/>
      <c r="GZ383" s="276"/>
      <c r="HA383" s="276"/>
      <c r="HB383" s="276"/>
      <c r="HC383" s="276"/>
      <c r="HD383" s="276"/>
      <c r="HE383" s="276"/>
      <c r="HF383" s="276"/>
      <c r="HG383" s="276"/>
      <c r="HH383" s="276"/>
      <c r="HI383" s="276"/>
      <c r="HJ383" s="276"/>
      <c r="HK383" s="276"/>
      <c r="HL383" s="276"/>
      <c r="HM383" s="276"/>
      <c r="HN383" s="276"/>
      <c r="HO383" s="276"/>
      <c r="HP383" s="276"/>
    </row>
    <row r="384" spans="2:224" s="30" customFormat="1" x14ac:dyDescent="0.5">
      <c r="B384" s="329"/>
      <c r="C384" s="32" t="s">
        <v>126</v>
      </c>
      <c r="D384" s="165"/>
      <c r="E384" s="29"/>
      <c r="F384" s="64"/>
      <c r="G384" s="328"/>
      <c r="H384" s="276"/>
      <c r="I384" s="336"/>
      <c r="J384" s="276"/>
      <c r="K384" s="323"/>
      <c r="L384" s="325"/>
      <c r="M384" s="276"/>
      <c r="N384" s="276"/>
      <c r="O384" s="276"/>
      <c r="P384" s="276"/>
      <c r="Q384" s="276"/>
      <c r="R384" s="276"/>
      <c r="S384" s="276"/>
      <c r="T384" s="276"/>
      <c r="U384" s="276"/>
      <c r="V384" s="276"/>
      <c r="W384" s="276"/>
      <c r="X384" s="276"/>
      <c r="Y384" s="276"/>
      <c r="Z384" s="276"/>
      <c r="AA384" s="276"/>
      <c r="AB384" s="276"/>
      <c r="AC384" s="276"/>
      <c r="AD384" s="276"/>
      <c r="AE384" s="276"/>
      <c r="AF384" s="276"/>
      <c r="AG384" s="276"/>
      <c r="AH384" s="276"/>
      <c r="AI384" s="276"/>
      <c r="AJ384" s="276"/>
      <c r="AK384" s="276"/>
      <c r="AL384" s="276"/>
      <c r="AM384" s="276"/>
      <c r="AN384" s="276"/>
      <c r="AO384" s="276"/>
      <c r="AP384" s="276"/>
      <c r="AQ384" s="276"/>
      <c r="AR384" s="276"/>
      <c r="AS384" s="276"/>
      <c r="AT384" s="276"/>
      <c r="AU384" s="276"/>
      <c r="AV384" s="276"/>
      <c r="AW384" s="276"/>
      <c r="AX384" s="276"/>
      <c r="AY384" s="276"/>
      <c r="AZ384" s="276"/>
      <c r="BA384" s="276"/>
      <c r="BB384" s="276"/>
      <c r="BC384" s="276"/>
      <c r="BD384" s="276"/>
      <c r="BE384" s="276"/>
      <c r="BF384" s="276"/>
      <c r="BG384" s="276"/>
      <c r="BH384" s="276"/>
      <c r="BI384" s="276"/>
      <c r="BJ384" s="276"/>
      <c r="BK384" s="276"/>
      <c r="BL384" s="276"/>
      <c r="BM384" s="276"/>
      <c r="BN384" s="276"/>
      <c r="BO384" s="276"/>
      <c r="BP384" s="276"/>
      <c r="BQ384" s="276"/>
      <c r="BR384" s="276"/>
      <c r="BS384" s="276"/>
      <c r="BT384" s="276"/>
      <c r="BU384" s="276"/>
      <c r="BV384" s="276"/>
      <c r="BW384" s="276"/>
      <c r="BX384" s="276"/>
      <c r="BY384" s="276"/>
      <c r="BZ384" s="276"/>
      <c r="CA384" s="276"/>
      <c r="CB384" s="276"/>
      <c r="CC384" s="276"/>
      <c r="CD384" s="276"/>
      <c r="CE384" s="276"/>
      <c r="CF384" s="276"/>
      <c r="CG384" s="276"/>
      <c r="CH384" s="276"/>
      <c r="CI384" s="276"/>
      <c r="CJ384" s="276"/>
      <c r="CK384" s="276"/>
      <c r="CL384" s="276"/>
      <c r="CM384" s="276"/>
      <c r="CN384" s="276"/>
      <c r="CO384" s="276"/>
      <c r="CP384" s="276"/>
      <c r="CQ384" s="276"/>
      <c r="CR384" s="276"/>
      <c r="CS384" s="276"/>
      <c r="CT384" s="276"/>
      <c r="CU384" s="276"/>
      <c r="CV384" s="276"/>
      <c r="CW384" s="276"/>
      <c r="CX384" s="276"/>
      <c r="CY384" s="276"/>
      <c r="CZ384" s="276"/>
      <c r="DA384" s="276"/>
      <c r="DB384" s="276"/>
      <c r="DC384" s="276"/>
      <c r="DD384" s="276"/>
      <c r="DE384" s="276"/>
      <c r="DF384" s="276"/>
      <c r="DG384" s="276"/>
      <c r="DH384" s="276"/>
      <c r="DI384" s="276"/>
      <c r="DJ384" s="276"/>
      <c r="DK384" s="276"/>
      <c r="DL384" s="276"/>
      <c r="DM384" s="276"/>
      <c r="DN384" s="276"/>
      <c r="DO384" s="276"/>
      <c r="DP384" s="276"/>
      <c r="DQ384" s="276"/>
      <c r="DR384" s="276"/>
      <c r="DS384" s="276"/>
      <c r="DT384" s="276"/>
      <c r="DU384" s="276"/>
      <c r="DV384" s="276"/>
      <c r="DW384" s="276"/>
      <c r="DX384" s="276"/>
      <c r="DY384" s="276"/>
      <c r="DZ384" s="276"/>
      <c r="EA384" s="276"/>
      <c r="EB384" s="276"/>
      <c r="EC384" s="276"/>
      <c r="ED384" s="276"/>
      <c r="EE384" s="276"/>
      <c r="EF384" s="276"/>
      <c r="EG384" s="276"/>
      <c r="EH384" s="276"/>
      <c r="EI384" s="276"/>
      <c r="EJ384" s="276"/>
      <c r="EK384" s="276"/>
      <c r="EL384" s="276"/>
      <c r="EM384" s="276"/>
      <c r="EN384" s="276"/>
      <c r="EO384" s="276"/>
      <c r="EP384" s="276"/>
      <c r="EQ384" s="276"/>
      <c r="ER384" s="276"/>
      <c r="ES384" s="276"/>
      <c r="ET384" s="276"/>
      <c r="EU384" s="276"/>
      <c r="EV384" s="276"/>
      <c r="EW384" s="276"/>
      <c r="EX384" s="276"/>
      <c r="EY384" s="276"/>
      <c r="EZ384" s="276"/>
      <c r="FA384" s="276"/>
      <c r="FB384" s="276"/>
      <c r="FC384" s="276"/>
      <c r="FD384" s="276"/>
      <c r="FE384" s="276"/>
      <c r="FF384" s="276"/>
      <c r="FG384" s="276"/>
      <c r="FH384" s="276"/>
      <c r="FI384" s="276"/>
      <c r="FJ384" s="276"/>
      <c r="FK384" s="276"/>
      <c r="FL384" s="276"/>
      <c r="FM384" s="276"/>
      <c r="FN384" s="276"/>
      <c r="FO384" s="276"/>
      <c r="FP384" s="276"/>
      <c r="FQ384" s="276"/>
      <c r="FR384" s="276"/>
      <c r="FS384" s="276"/>
      <c r="FT384" s="276"/>
      <c r="FU384" s="276"/>
      <c r="FV384" s="276"/>
      <c r="FW384" s="276"/>
      <c r="FX384" s="276"/>
      <c r="FY384" s="276"/>
      <c r="FZ384" s="276"/>
      <c r="GA384" s="276"/>
      <c r="GB384" s="276"/>
      <c r="GC384" s="276"/>
      <c r="GD384" s="276"/>
      <c r="GE384" s="276"/>
      <c r="GF384" s="276"/>
      <c r="GG384" s="276"/>
      <c r="GH384" s="276"/>
      <c r="GI384" s="276"/>
      <c r="GJ384" s="276"/>
      <c r="GK384" s="276"/>
      <c r="GL384" s="276"/>
      <c r="GM384" s="276"/>
      <c r="GN384" s="276"/>
      <c r="GO384" s="276"/>
      <c r="GP384" s="276"/>
      <c r="GQ384" s="276"/>
      <c r="GR384" s="276"/>
      <c r="GS384" s="276"/>
      <c r="GT384" s="276"/>
      <c r="GU384" s="276"/>
      <c r="GV384" s="276"/>
      <c r="GW384" s="276"/>
      <c r="GX384" s="276"/>
      <c r="GY384" s="276"/>
      <c r="GZ384" s="276"/>
      <c r="HA384" s="276"/>
      <c r="HB384" s="276"/>
      <c r="HC384" s="276"/>
      <c r="HD384" s="276"/>
      <c r="HE384" s="276"/>
      <c r="HF384" s="276"/>
      <c r="HG384" s="276"/>
      <c r="HH384" s="276"/>
      <c r="HI384" s="276"/>
      <c r="HJ384" s="276"/>
      <c r="HK384" s="276"/>
      <c r="HL384" s="276"/>
      <c r="HM384" s="276"/>
      <c r="HN384" s="276"/>
      <c r="HO384" s="276"/>
      <c r="HP384" s="276"/>
    </row>
    <row r="385" spans="2:224" s="30" customFormat="1" ht="15.75" customHeight="1" x14ac:dyDescent="0.5">
      <c r="B385" s="329"/>
      <c r="C385" s="344" t="s">
        <v>127</v>
      </c>
      <c r="D385" s="344"/>
      <c r="E385" s="344"/>
      <c r="F385" s="344"/>
      <c r="G385" s="345"/>
      <c r="H385" s="276"/>
      <c r="I385" s="336"/>
      <c r="J385" s="276"/>
      <c r="K385" s="323"/>
      <c r="L385" s="325"/>
      <c r="M385" s="276"/>
      <c r="N385" s="276"/>
      <c r="O385" s="276"/>
      <c r="P385" s="276"/>
      <c r="Q385" s="276"/>
      <c r="R385" s="276"/>
      <c r="S385" s="276"/>
      <c r="T385" s="276"/>
      <c r="U385" s="276"/>
      <c r="V385" s="276"/>
      <c r="W385" s="276"/>
      <c r="X385" s="276"/>
      <c r="Y385" s="276"/>
      <c r="Z385" s="276"/>
      <c r="AA385" s="276"/>
      <c r="AB385" s="276"/>
      <c r="AC385" s="276"/>
      <c r="AD385" s="276"/>
      <c r="AE385" s="276"/>
      <c r="AF385" s="276"/>
      <c r="AG385" s="276"/>
      <c r="AH385" s="276"/>
      <c r="AI385" s="276"/>
      <c r="AJ385" s="276"/>
      <c r="AK385" s="276"/>
      <c r="AL385" s="276"/>
      <c r="AM385" s="276"/>
      <c r="AN385" s="276"/>
      <c r="AO385" s="276"/>
      <c r="AP385" s="276"/>
      <c r="AQ385" s="276"/>
      <c r="AR385" s="276"/>
      <c r="AS385" s="276"/>
      <c r="AT385" s="276"/>
      <c r="AU385" s="276"/>
      <c r="AV385" s="276"/>
      <c r="AW385" s="276"/>
      <c r="AX385" s="276"/>
      <c r="AY385" s="276"/>
      <c r="AZ385" s="276"/>
      <c r="BA385" s="276"/>
      <c r="BB385" s="276"/>
      <c r="BC385" s="276"/>
      <c r="BD385" s="276"/>
      <c r="BE385" s="276"/>
      <c r="BF385" s="276"/>
      <c r="BG385" s="276"/>
      <c r="BH385" s="276"/>
      <c r="BI385" s="276"/>
      <c r="BJ385" s="276"/>
      <c r="BK385" s="276"/>
      <c r="BL385" s="276"/>
      <c r="BM385" s="276"/>
      <c r="BN385" s="276"/>
      <c r="BO385" s="276"/>
      <c r="BP385" s="276"/>
      <c r="BQ385" s="276"/>
      <c r="BR385" s="276"/>
      <c r="BS385" s="276"/>
      <c r="BT385" s="276"/>
      <c r="BU385" s="276"/>
      <c r="BV385" s="276"/>
      <c r="BW385" s="276"/>
      <c r="BX385" s="276"/>
      <c r="BY385" s="276"/>
      <c r="BZ385" s="276"/>
      <c r="CA385" s="276"/>
      <c r="CB385" s="276"/>
      <c r="CC385" s="276"/>
      <c r="CD385" s="276"/>
      <c r="CE385" s="276"/>
      <c r="CF385" s="276"/>
      <c r="CG385" s="276"/>
      <c r="CH385" s="276"/>
      <c r="CI385" s="276"/>
      <c r="CJ385" s="276"/>
      <c r="CK385" s="276"/>
      <c r="CL385" s="276"/>
      <c r="CM385" s="276"/>
      <c r="CN385" s="276"/>
      <c r="CO385" s="276"/>
      <c r="CP385" s="276"/>
      <c r="CQ385" s="276"/>
      <c r="CR385" s="276"/>
      <c r="CS385" s="276"/>
      <c r="CT385" s="276"/>
      <c r="CU385" s="276"/>
      <c r="CV385" s="276"/>
      <c r="CW385" s="276"/>
      <c r="CX385" s="276"/>
      <c r="CY385" s="276"/>
      <c r="CZ385" s="276"/>
      <c r="DA385" s="276"/>
      <c r="DB385" s="276"/>
      <c r="DC385" s="276"/>
      <c r="DD385" s="276"/>
      <c r="DE385" s="276"/>
      <c r="DF385" s="276"/>
      <c r="DG385" s="276"/>
      <c r="DH385" s="276"/>
      <c r="DI385" s="276"/>
      <c r="DJ385" s="276"/>
      <c r="DK385" s="276"/>
      <c r="DL385" s="276"/>
      <c r="DM385" s="276"/>
      <c r="DN385" s="276"/>
      <c r="DO385" s="276"/>
      <c r="DP385" s="276"/>
      <c r="DQ385" s="276"/>
      <c r="DR385" s="276"/>
      <c r="DS385" s="276"/>
      <c r="DT385" s="276"/>
      <c r="DU385" s="276"/>
      <c r="DV385" s="276"/>
      <c r="DW385" s="276"/>
      <c r="DX385" s="276"/>
      <c r="DY385" s="276"/>
      <c r="DZ385" s="276"/>
      <c r="EA385" s="276"/>
      <c r="EB385" s="276"/>
      <c r="EC385" s="276"/>
      <c r="ED385" s="276"/>
      <c r="EE385" s="276"/>
      <c r="EF385" s="276"/>
      <c r="EG385" s="276"/>
      <c r="EH385" s="276"/>
      <c r="EI385" s="276"/>
      <c r="EJ385" s="276"/>
      <c r="EK385" s="276"/>
      <c r="EL385" s="276"/>
      <c r="EM385" s="276"/>
      <c r="EN385" s="276"/>
      <c r="EO385" s="276"/>
      <c r="EP385" s="276"/>
      <c r="EQ385" s="276"/>
      <c r="ER385" s="276"/>
      <c r="ES385" s="276"/>
      <c r="ET385" s="276"/>
      <c r="EU385" s="276"/>
      <c r="EV385" s="276"/>
      <c r="EW385" s="276"/>
      <c r="EX385" s="276"/>
      <c r="EY385" s="276"/>
      <c r="EZ385" s="276"/>
      <c r="FA385" s="276"/>
      <c r="FB385" s="276"/>
      <c r="FC385" s="276"/>
      <c r="FD385" s="276"/>
      <c r="FE385" s="276"/>
      <c r="FF385" s="276"/>
      <c r="FG385" s="276"/>
      <c r="FH385" s="276"/>
      <c r="FI385" s="276"/>
      <c r="FJ385" s="276"/>
      <c r="FK385" s="276"/>
      <c r="FL385" s="276"/>
      <c r="FM385" s="276"/>
      <c r="FN385" s="276"/>
      <c r="FO385" s="276"/>
      <c r="FP385" s="276"/>
      <c r="FQ385" s="276"/>
      <c r="FR385" s="276"/>
      <c r="FS385" s="276"/>
      <c r="FT385" s="276"/>
      <c r="FU385" s="276"/>
      <c r="FV385" s="276"/>
      <c r="FW385" s="276"/>
      <c r="FX385" s="276"/>
      <c r="FY385" s="276"/>
      <c r="FZ385" s="276"/>
      <c r="GA385" s="276"/>
      <c r="GB385" s="276"/>
      <c r="GC385" s="276"/>
      <c r="GD385" s="276"/>
      <c r="GE385" s="276"/>
      <c r="GF385" s="276"/>
      <c r="GG385" s="276"/>
      <c r="GH385" s="276"/>
      <c r="GI385" s="276"/>
      <c r="GJ385" s="276"/>
      <c r="GK385" s="276"/>
      <c r="GL385" s="276"/>
      <c r="GM385" s="276"/>
      <c r="GN385" s="276"/>
      <c r="GO385" s="276"/>
      <c r="GP385" s="276"/>
      <c r="GQ385" s="276"/>
      <c r="GR385" s="276"/>
      <c r="GS385" s="276"/>
      <c r="GT385" s="276"/>
      <c r="GU385" s="276"/>
      <c r="GV385" s="276"/>
      <c r="GW385" s="276"/>
      <c r="GX385" s="276"/>
      <c r="GY385" s="276"/>
      <c r="GZ385" s="276"/>
      <c r="HA385" s="276"/>
      <c r="HB385" s="276"/>
      <c r="HC385" s="276"/>
      <c r="HD385" s="276"/>
      <c r="HE385" s="276"/>
      <c r="HF385" s="276"/>
      <c r="HG385" s="276"/>
      <c r="HH385" s="276"/>
      <c r="HI385" s="276"/>
      <c r="HJ385" s="276"/>
      <c r="HK385" s="276"/>
      <c r="HL385" s="276"/>
      <c r="HM385" s="276"/>
      <c r="HN385" s="276"/>
      <c r="HO385" s="276"/>
      <c r="HP385" s="276"/>
    </row>
    <row r="386" spans="2:224" s="30" customFormat="1" x14ac:dyDescent="0.5">
      <c r="B386" s="329"/>
      <c r="C386" s="32" t="s">
        <v>128</v>
      </c>
      <c r="D386" s="165"/>
      <c r="E386" s="29"/>
      <c r="F386" s="64"/>
      <c r="G386" s="328"/>
      <c r="H386" s="276"/>
      <c r="I386" s="336"/>
      <c r="J386" s="276"/>
      <c r="K386" s="323"/>
      <c r="L386" s="325"/>
      <c r="M386" s="276"/>
      <c r="N386" s="276"/>
      <c r="O386" s="276"/>
      <c r="P386" s="276"/>
      <c r="Q386" s="276"/>
      <c r="R386" s="276"/>
      <c r="S386" s="276"/>
      <c r="T386" s="276"/>
      <c r="U386" s="276"/>
      <c r="V386" s="276"/>
      <c r="W386" s="276"/>
      <c r="X386" s="276"/>
      <c r="Y386" s="276"/>
      <c r="Z386" s="276"/>
      <c r="AA386" s="276"/>
      <c r="AB386" s="276"/>
      <c r="AC386" s="276"/>
      <c r="AD386" s="276"/>
      <c r="AE386" s="276"/>
      <c r="AF386" s="276"/>
      <c r="AG386" s="276"/>
      <c r="AH386" s="276"/>
      <c r="AI386" s="276"/>
      <c r="AJ386" s="276"/>
      <c r="AK386" s="276"/>
      <c r="AL386" s="276"/>
      <c r="AM386" s="276"/>
      <c r="AN386" s="276"/>
      <c r="AO386" s="276"/>
      <c r="AP386" s="276"/>
      <c r="AQ386" s="276"/>
      <c r="AR386" s="276"/>
      <c r="AS386" s="276"/>
      <c r="AT386" s="276"/>
      <c r="AU386" s="276"/>
      <c r="AV386" s="276"/>
      <c r="AW386" s="276"/>
      <c r="AX386" s="276"/>
      <c r="AY386" s="276"/>
      <c r="AZ386" s="276"/>
      <c r="BA386" s="276"/>
      <c r="BB386" s="276"/>
      <c r="BC386" s="276"/>
      <c r="BD386" s="276"/>
      <c r="BE386" s="276"/>
      <c r="BF386" s="276"/>
      <c r="BG386" s="276"/>
      <c r="BH386" s="276"/>
      <c r="BI386" s="276"/>
      <c r="BJ386" s="276"/>
      <c r="BK386" s="276"/>
      <c r="BL386" s="276"/>
      <c r="BM386" s="276"/>
      <c r="BN386" s="276"/>
      <c r="BO386" s="276"/>
      <c r="BP386" s="276"/>
      <c r="BQ386" s="276"/>
      <c r="BR386" s="276"/>
      <c r="BS386" s="276"/>
      <c r="BT386" s="276"/>
      <c r="BU386" s="276"/>
      <c r="BV386" s="276"/>
      <c r="BW386" s="276"/>
      <c r="BX386" s="276"/>
      <c r="BY386" s="276"/>
      <c r="BZ386" s="276"/>
      <c r="CA386" s="276"/>
      <c r="CB386" s="276"/>
      <c r="CC386" s="276"/>
      <c r="CD386" s="276"/>
      <c r="CE386" s="276"/>
      <c r="CF386" s="276"/>
      <c r="CG386" s="276"/>
      <c r="CH386" s="276"/>
      <c r="CI386" s="276"/>
      <c r="CJ386" s="276"/>
      <c r="CK386" s="276"/>
      <c r="CL386" s="276"/>
      <c r="CM386" s="276"/>
      <c r="CN386" s="276"/>
      <c r="CO386" s="276"/>
      <c r="CP386" s="276"/>
      <c r="CQ386" s="276"/>
      <c r="CR386" s="276"/>
      <c r="CS386" s="276"/>
      <c r="CT386" s="276"/>
      <c r="CU386" s="276"/>
      <c r="CV386" s="276"/>
      <c r="CW386" s="276"/>
      <c r="CX386" s="276"/>
      <c r="CY386" s="276"/>
      <c r="CZ386" s="276"/>
      <c r="DA386" s="276"/>
      <c r="DB386" s="276"/>
      <c r="DC386" s="276"/>
      <c r="DD386" s="276"/>
      <c r="DE386" s="276"/>
      <c r="DF386" s="276"/>
      <c r="DG386" s="276"/>
      <c r="DH386" s="276"/>
      <c r="DI386" s="276"/>
      <c r="DJ386" s="276"/>
      <c r="DK386" s="276"/>
      <c r="DL386" s="276"/>
      <c r="DM386" s="276"/>
      <c r="DN386" s="276"/>
      <c r="DO386" s="276"/>
      <c r="DP386" s="276"/>
      <c r="DQ386" s="276"/>
      <c r="DR386" s="276"/>
      <c r="DS386" s="276"/>
      <c r="DT386" s="276"/>
      <c r="DU386" s="276"/>
      <c r="DV386" s="276"/>
      <c r="DW386" s="276"/>
      <c r="DX386" s="276"/>
      <c r="DY386" s="276"/>
      <c r="DZ386" s="276"/>
      <c r="EA386" s="276"/>
      <c r="EB386" s="276"/>
      <c r="EC386" s="276"/>
      <c r="ED386" s="276"/>
      <c r="EE386" s="276"/>
      <c r="EF386" s="276"/>
      <c r="EG386" s="276"/>
      <c r="EH386" s="276"/>
      <c r="EI386" s="276"/>
      <c r="EJ386" s="276"/>
      <c r="EK386" s="276"/>
      <c r="EL386" s="276"/>
      <c r="EM386" s="276"/>
      <c r="EN386" s="276"/>
      <c r="EO386" s="276"/>
      <c r="EP386" s="276"/>
      <c r="EQ386" s="276"/>
      <c r="ER386" s="276"/>
      <c r="ES386" s="276"/>
      <c r="ET386" s="276"/>
      <c r="EU386" s="276"/>
      <c r="EV386" s="276"/>
      <c r="EW386" s="276"/>
      <c r="EX386" s="276"/>
      <c r="EY386" s="276"/>
      <c r="EZ386" s="276"/>
      <c r="FA386" s="276"/>
      <c r="FB386" s="276"/>
      <c r="FC386" s="276"/>
      <c r="FD386" s="276"/>
      <c r="FE386" s="276"/>
      <c r="FF386" s="276"/>
      <c r="FG386" s="276"/>
      <c r="FH386" s="276"/>
      <c r="FI386" s="276"/>
      <c r="FJ386" s="276"/>
      <c r="FK386" s="276"/>
      <c r="FL386" s="276"/>
      <c r="FM386" s="276"/>
      <c r="FN386" s="276"/>
      <c r="FO386" s="276"/>
      <c r="FP386" s="276"/>
      <c r="FQ386" s="276"/>
      <c r="FR386" s="276"/>
      <c r="FS386" s="276"/>
      <c r="FT386" s="276"/>
      <c r="FU386" s="276"/>
      <c r="FV386" s="276"/>
      <c r="FW386" s="276"/>
      <c r="FX386" s="276"/>
      <c r="FY386" s="276"/>
      <c r="FZ386" s="276"/>
      <c r="GA386" s="276"/>
      <c r="GB386" s="276"/>
      <c r="GC386" s="276"/>
      <c r="GD386" s="276"/>
      <c r="GE386" s="276"/>
      <c r="GF386" s="276"/>
      <c r="GG386" s="276"/>
      <c r="GH386" s="276"/>
      <c r="GI386" s="276"/>
      <c r="GJ386" s="276"/>
      <c r="GK386" s="276"/>
      <c r="GL386" s="276"/>
      <c r="GM386" s="276"/>
      <c r="GN386" s="276"/>
      <c r="GO386" s="276"/>
      <c r="GP386" s="276"/>
      <c r="GQ386" s="276"/>
      <c r="GR386" s="276"/>
      <c r="GS386" s="276"/>
      <c r="GT386" s="276"/>
      <c r="GU386" s="276"/>
      <c r="GV386" s="276"/>
      <c r="GW386" s="276"/>
      <c r="GX386" s="276"/>
      <c r="GY386" s="276"/>
      <c r="GZ386" s="276"/>
      <c r="HA386" s="276"/>
      <c r="HB386" s="276"/>
      <c r="HC386" s="276"/>
      <c r="HD386" s="276"/>
      <c r="HE386" s="276"/>
      <c r="HF386" s="276"/>
      <c r="HG386" s="276"/>
      <c r="HH386" s="276"/>
      <c r="HI386" s="276"/>
      <c r="HJ386" s="276"/>
      <c r="HK386" s="276"/>
      <c r="HL386" s="276"/>
      <c r="HM386" s="276"/>
      <c r="HN386" s="276"/>
      <c r="HO386" s="276"/>
      <c r="HP386" s="276"/>
    </row>
    <row r="387" spans="2:224" ht="15.4" x14ac:dyDescent="0.45">
      <c r="B387" s="329"/>
      <c r="C387" s="32"/>
      <c r="D387" s="165"/>
      <c r="G387" s="328"/>
      <c r="H387" s="32"/>
      <c r="I387" s="334"/>
      <c r="J387" s="32"/>
      <c r="L387" s="165"/>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c r="CK387" s="32"/>
      <c r="CL387" s="32"/>
      <c r="CM387" s="32"/>
      <c r="CN387" s="32"/>
      <c r="CO387" s="32"/>
      <c r="CP387" s="32"/>
      <c r="CQ387" s="32"/>
      <c r="CR387" s="32"/>
      <c r="CS387" s="32"/>
      <c r="CT387" s="32"/>
      <c r="CU387" s="32"/>
      <c r="CV387" s="32"/>
      <c r="CW387" s="32"/>
      <c r="CX387" s="32"/>
      <c r="CY387" s="32"/>
      <c r="CZ387" s="32"/>
      <c r="DA387" s="32"/>
      <c r="DB387" s="32"/>
      <c r="DC387" s="32"/>
      <c r="DD387" s="32"/>
      <c r="DE387" s="32"/>
      <c r="DF387" s="32"/>
      <c r="DG387" s="32"/>
      <c r="DH387" s="32"/>
      <c r="DI387" s="32"/>
      <c r="DJ387" s="32"/>
      <c r="DK387" s="32"/>
      <c r="DL387" s="32"/>
      <c r="DM387" s="32"/>
      <c r="DN387" s="32"/>
      <c r="DO387" s="32"/>
      <c r="DP387" s="32"/>
      <c r="DQ387" s="32"/>
      <c r="DR387" s="32"/>
      <c r="DS387" s="32"/>
      <c r="DT387" s="32"/>
      <c r="DU387" s="32"/>
      <c r="DV387" s="32"/>
      <c r="DW387" s="32"/>
      <c r="DX387" s="32"/>
      <c r="DY387" s="32"/>
      <c r="DZ387" s="32"/>
      <c r="EA387" s="32"/>
      <c r="EB387" s="32"/>
      <c r="EC387" s="32"/>
      <c r="ED387" s="32"/>
      <c r="EE387" s="32"/>
      <c r="EF387" s="32"/>
      <c r="EG387" s="32"/>
      <c r="EH387" s="32"/>
      <c r="EI387" s="32"/>
      <c r="EJ387" s="32"/>
      <c r="EK387" s="32"/>
      <c r="EL387" s="32"/>
      <c r="EM387" s="32"/>
      <c r="EN387" s="32"/>
      <c r="EO387" s="32"/>
      <c r="EP387" s="32"/>
      <c r="EQ387" s="32"/>
      <c r="ER387" s="32"/>
      <c r="ES387" s="32"/>
      <c r="ET387" s="32"/>
      <c r="EU387" s="32"/>
      <c r="EV387" s="32"/>
      <c r="EW387" s="32"/>
      <c r="EX387" s="32"/>
      <c r="EY387" s="32"/>
      <c r="EZ387" s="32"/>
      <c r="FA387" s="32"/>
      <c r="FB387" s="32"/>
      <c r="FC387" s="32"/>
      <c r="FD387" s="32"/>
      <c r="FE387" s="32"/>
      <c r="FF387" s="32"/>
      <c r="FG387" s="32"/>
      <c r="FH387" s="32"/>
      <c r="FI387" s="32"/>
      <c r="FJ387" s="32"/>
      <c r="FK387" s="32"/>
      <c r="FL387" s="32"/>
      <c r="FM387" s="32"/>
      <c r="FN387" s="32"/>
      <c r="FO387" s="32"/>
      <c r="FP387" s="32"/>
      <c r="FQ387" s="32"/>
      <c r="FR387" s="32"/>
      <c r="FS387" s="32"/>
      <c r="FT387" s="32"/>
      <c r="FU387" s="32"/>
      <c r="FV387" s="32"/>
      <c r="FW387" s="32"/>
      <c r="FX387" s="32"/>
      <c r="FY387" s="32"/>
      <c r="FZ387" s="32"/>
      <c r="GA387" s="32"/>
      <c r="GB387" s="32"/>
      <c r="GC387" s="32"/>
      <c r="GD387" s="32"/>
      <c r="GE387" s="32"/>
      <c r="GF387" s="32"/>
      <c r="GG387" s="32"/>
      <c r="GH387" s="32"/>
      <c r="GI387" s="32"/>
      <c r="GJ387" s="32"/>
      <c r="GK387" s="32"/>
      <c r="GL387" s="32"/>
      <c r="GM387" s="32"/>
      <c r="GN387" s="32"/>
      <c r="GO387" s="32"/>
      <c r="GP387" s="32"/>
      <c r="GQ387" s="32"/>
      <c r="GR387" s="32"/>
      <c r="GS387" s="32"/>
      <c r="GT387" s="32"/>
      <c r="GU387" s="32"/>
      <c r="GV387" s="32"/>
      <c r="GW387" s="32"/>
      <c r="GX387" s="32"/>
      <c r="GY387" s="32"/>
      <c r="GZ387" s="32"/>
      <c r="HA387" s="32"/>
      <c r="HB387" s="32"/>
      <c r="HC387" s="32"/>
      <c r="HD387" s="32"/>
      <c r="HE387" s="32"/>
      <c r="HF387" s="32"/>
      <c r="HG387" s="32"/>
      <c r="HH387" s="32"/>
      <c r="HI387" s="32"/>
      <c r="HJ387" s="32"/>
      <c r="HK387" s="32"/>
      <c r="HL387" s="32"/>
      <c r="HM387" s="32"/>
      <c r="HN387" s="32"/>
      <c r="HO387" s="32"/>
      <c r="HP387" s="32"/>
    </row>
    <row r="388" spans="2:224" ht="15.4" x14ac:dyDescent="0.45">
      <c r="B388" s="327" t="s">
        <v>129</v>
      </c>
      <c r="C388" s="67" t="s">
        <v>130</v>
      </c>
      <c r="D388" s="165"/>
      <c r="G388" s="328"/>
      <c r="H388" s="32"/>
      <c r="I388" s="334"/>
      <c r="J388" s="32"/>
      <c r="L388" s="165"/>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c r="CK388" s="32"/>
      <c r="CL388" s="32"/>
      <c r="CM388" s="32"/>
      <c r="CN388" s="32"/>
      <c r="CO388" s="32"/>
      <c r="CP388" s="32"/>
      <c r="CQ388" s="32"/>
      <c r="CR388" s="32"/>
      <c r="CS388" s="32"/>
      <c r="CT388" s="32"/>
      <c r="CU388" s="32"/>
      <c r="CV388" s="32"/>
      <c r="CW388" s="32"/>
      <c r="CX388" s="32"/>
      <c r="CY388" s="32"/>
      <c r="CZ388" s="32"/>
      <c r="DA388" s="32"/>
      <c r="DB388" s="32"/>
      <c r="DC388" s="32"/>
      <c r="DD388" s="32"/>
      <c r="DE388" s="32"/>
      <c r="DF388" s="32"/>
      <c r="DG388" s="32"/>
      <c r="DH388" s="32"/>
      <c r="DI388" s="32"/>
      <c r="DJ388" s="32"/>
      <c r="DK388" s="32"/>
      <c r="DL388" s="32"/>
      <c r="DM388" s="32"/>
      <c r="DN388" s="32"/>
      <c r="DO388" s="32"/>
      <c r="DP388" s="32"/>
      <c r="DQ388" s="32"/>
      <c r="DR388" s="32"/>
      <c r="DS388" s="32"/>
      <c r="DT388" s="32"/>
      <c r="DU388" s="32"/>
      <c r="DV388" s="32"/>
      <c r="DW388" s="32"/>
      <c r="DX388" s="32"/>
      <c r="DY388" s="32"/>
      <c r="DZ388" s="32"/>
      <c r="EA388" s="32"/>
      <c r="EB388" s="32"/>
      <c r="EC388" s="32"/>
      <c r="ED388" s="32"/>
      <c r="EE388" s="32"/>
      <c r="EF388" s="32"/>
      <c r="EG388" s="32"/>
      <c r="EH388" s="32"/>
      <c r="EI388" s="32"/>
      <c r="EJ388" s="32"/>
      <c r="EK388" s="32"/>
      <c r="EL388" s="32"/>
      <c r="EM388" s="32"/>
      <c r="EN388" s="32"/>
      <c r="EO388" s="32"/>
      <c r="EP388" s="32"/>
      <c r="EQ388" s="32"/>
      <c r="ER388" s="32"/>
      <c r="ES388" s="32"/>
      <c r="ET388" s="32"/>
      <c r="EU388" s="32"/>
      <c r="EV388" s="32"/>
      <c r="EW388" s="32"/>
      <c r="EX388" s="32"/>
      <c r="EY388" s="32"/>
      <c r="EZ388" s="32"/>
      <c r="FA388" s="32"/>
      <c r="FB388" s="32"/>
      <c r="FC388" s="32"/>
      <c r="FD388" s="32"/>
      <c r="FE388" s="32"/>
      <c r="FF388" s="32"/>
      <c r="FG388" s="32"/>
      <c r="FH388" s="32"/>
      <c r="FI388" s="32"/>
      <c r="FJ388" s="32"/>
      <c r="FK388" s="32"/>
      <c r="FL388" s="32"/>
      <c r="FM388" s="32"/>
      <c r="FN388" s="32"/>
      <c r="FO388" s="32"/>
      <c r="FP388" s="32"/>
      <c r="FQ388" s="32"/>
      <c r="FR388" s="32"/>
      <c r="FS388" s="32"/>
      <c r="FT388" s="32"/>
      <c r="FU388" s="32"/>
      <c r="FV388" s="32"/>
      <c r="FW388" s="32"/>
      <c r="FX388" s="32"/>
      <c r="FY388" s="32"/>
      <c r="FZ388" s="32"/>
      <c r="GA388" s="32"/>
      <c r="GB388" s="32"/>
      <c r="GC388" s="32"/>
      <c r="GD388" s="32"/>
      <c r="GE388" s="32"/>
      <c r="GF388" s="32"/>
      <c r="GG388" s="32"/>
      <c r="GH388" s="32"/>
      <c r="GI388" s="32"/>
      <c r="GJ388" s="32"/>
      <c r="GK388" s="32"/>
      <c r="GL388" s="32"/>
      <c r="GM388" s="32"/>
      <c r="GN388" s="32"/>
      <c r="GO388" s="32"/>
      <c r="GP388" s="32"/>
      <c r="GQ388" s="32"/>
      <c r="GR388" s="32"/>
      <c r="GS388" s="32"/>
      <c r="GT388" s="32"/>
      <c r="GU388" s="32"/>
      <c r="GV388" s="32"/>
      <c r="GW388" s="32"/>
      <c r="GX388" s="32"/>
      <c r="GY388" s="32"/>
      <c r="GZ388" s="32"/>
      <c r="HA388" s="32"/>
      <c r="HB388" s="32"/>
      <c r="HC388" s="32"/>
      <c r="HD388" s="32"/>
      <c r="HE388" s="32"/>
      <c r="HF388" s="32"/>
      <c r="HG388" s="32"/>
      <c r="HH388" s="32"/>
      <c r="HI388" s="32"/>
      <c r="HJ388" s="32"/>
      <c r="HK388" s="32"/>
      <c r="HL388" s="32"/>
      <c r="HM388" s="32"/>
      <c r="HN388" s="32"/>
      <c r="HO388" s="32"/>
      <c r="HP388" s="32"/>
    </row>
    <row r="389" spans="2:224" s="30" customFormat="1" x14ac:dyDescent="0.5">
      <c r="B389" s="329"/>
      <c r="C389" s="32" t="s">
        <v>131</v>
      </c>
      <c r="D389" s="165"/>
      <c r="E389" s="29"/>
      <c r="F389" s="64"/>
      <c r="G389" s="328"/>
      <c r="H389" s="276"/>
      <c r="I389" s="336"/>
      <c r="J389" s="276"/>
      <c r="K389" s="323"/>
      <c r="L389" s="325"/>
      <c r="M389" s="276"/>
      <c r="N389" s="276"/>
      <c r="O389" s="276"/>
      <c r="P389" s="276"/>
      <c r="Q389" s="276"/>
      <c r="R389" s="276"/>
      <c r="S389" s="276"/>
      <c r="T389" s="276"/>
      <c r="U389" s="276"/>
      <c r="V389" s="276"/>
      <c r="W389" s="276"/>
      <c r="X389" s="276"/>
      <c r="Y389" s="276"/>
      <c r="Z389" s="276"/>
      <c r="AA389" s="276"/>
      <c r="AB389" s="276"/>
      <c r="AC389" s="276"/>
      <c r="AD389" s="276"/>
      <c r="AE389" s="276"/>
      <c r="AF389" s="276"/>
      <c r="AG389" s="276"/>
      <c r="AH389" s="276"/>
      <c r="AI389" s="276"/>
      <c r="AJ389" s="276"/>
      <c r="AK389" s="276"/>
      <c r="AL389" s="276"/>
      <c r="AM389" s="276"/>
      <c r="AN389" s="276"/>
      <c r="AO389" s="276"/>
      <c r="AP389" s="276"/>
      <c r="AQ389" s="276"/>
      <c r="AR389" s="276"/>
      <c r="AS389" s="276"/>
      <c r="AT389" s="276"/>
      <c r="AU389" s="276"/>
      <c r="AV389" s="276"/>
      <c r="AW389" s="276"/>
      <c r="AX389" s="276"/>
      <c r="AY389" s="276"/>
      <c r="AZ389" s="276"/>
      <c r="BA389" s="276"/>
      <c r="BB389" s="276"/>
      <c r="BC389" s="276"/>
      <c r="BD389" s="276"/>
      <c r="BE389" s="276"/>
      <c r="BF389" s="276"/>
      <c r="BG389" s="276"/>
      <c r="BH389" s="276"/>
      <c r="BI389" s="276"/>
      <c r="BJ389" s="276"/>
      <c r="BK389" s="276"/>
      <c r="BL389" s="276"/>
      <c r="BM389" s="276"/>
      <c r="BN389" s="276"/>
      <c r="BO389" s="276"/>
      <c r="BP389" s="276"/>
      <c r="BQ389" s="276"/>
      <c r="BR389" s="276"/>
      <c r="BS389" s="276"/>
      <c r="BT389" s="276"/>
      <c r="BU389" s="276"/>
      <c r="BV389" s="276"/>
      <c r="BW389" s="276"/>
      <c r="BX389" s="276"/>
      <c r="BY389" s="276"/>
      <c r="BZ389" s="276"/>
      <c r="CA389" s="276"/>
      <c r="CB389" s="276"/>
      <c r="CC389" s="276"/>
      <c r="CD389" s="276"/>
      <c r="CE389" s="276"/>
      <c r="CF389" s="276"/>
      <c r="CG389" s="276"/>
      <c r="CH389" s="276"/>
      <c r="CI389" s="276"/>
      <c r="CJ389" s="276"/>
      <c r="CK389" s="276"/>
      <c r="CL389" s="276"/>
      <c r="CM389" s="276"/>
      <c r="CN389" s="276"/>
      <c r="CO389" s="276"/>
      <c r="CP389" s="276"/>
      <c r="CQ389" s="276"/>
      <c r="CR389" s="276"/>
      <c r="CS389" s="276"/>
      <c r="CT389" s="276"/>
      <c r="CU389" s="276"/>
      <c r="CV389" s="276"/>
      <c r="CW389" s="276"/>
      <c r="CX389" s="276"/>
      <c r="CY389" s="276"/>
      <c r="CZ389" s="276"/>
      <c r="DA389" s="276"/>
      <c r="DB389" s="276"/>
      <c r="DC389" s="276"/>
      <c r="DD389" s="276"/>
      <c r="DE389" s="276"/>
      <c r="DF389" s="276"/>
      <c r="DG389" s="276"/>
      <c r="DH389" s="276"/>
      <c r="DI389" s="276"/>
      <c r="DJ389" s="276"/>
      <c r="DK389" s="276"/>
      <c r="DL389" s="276"/>
      <c r="DM389" s="276"/>
      <c r="DN389" s="276"/>
      <c r="DO389" s="276"/>
      <c r="DP389" s="276"/>
      <c r="DQ389" s="276"/>
      <c r="DR389" s="276"/>
      <c r="DS389" s="276"/>
      <c r="DT389" s="276"/>
      <c r="DU389" s="276"/>
      <c r="DV389" s="276"/>
      <c r="DW389" s="276"/>
      <c r="DX389" s="276"/>
      <c r="DY389" s="276"/>
      <c r="DZ389" s="276"/>
      <c r="EA389" s="276"/>
      <c r="EB389" s="276"/>
      <c r="EC389" s="276"/>
      <c r="ED389" s="276"/>
      <c r="EE389" s="276"/>
      <c r="EF389" s="276"/>
      <c r="EG389" s="276"/>
      <c r="EH389" s="276"/>
      <c r="EI389" s="276"/>
      <c r="EJ389" s="276"/>
      <c r="EK389" s="276"/>
      <c r="EL389" s="276"/>
      <c r="EM389" s="276"/>
      <c r="EN389" s="276"/>
      <c r="EO389" s="276"/>
      <c r="EP389" s="276"/>
      <c r="EQ389" s="276"/>
      <c r="ER389" s="276"/>
      <c r="ES389" s="276"/>
      <c r="ET389" s="276"/>
      <c r="EU389" s="276"/>
      <c r="EV389" s="276"/>
      <c r="EW389" s="276"/>
      <c r="EX389" s="276"/>
      <c r="EY389" s="276"/>
      <c r="EZ389" s="276"/>
      <c r="FA389" s="276"/>
      <c r="FB389" s="276"/>
      <c r="FC389" s="276"/>
      <c r="FD389" s="276"/>
      <c r="FE389" s="276"/>
      <c r="FF389" s="276"/>
      <c r="FG389" s="276"/>
      <c r="FH389" s="276"/>
      <c r="FI389" s="276"/>
      <c r="FJ389" s="276"/>
      <c r="FK389" s="276"/>
      <c r="FL389" s="276"/>
      <c r="FM389" s="276"/>
      <c r="FN389" s="276"/>
      <c r="FO389" s="276"/>
      <c r="FP389" s="276"/>
      <c r="FQ389" s="276"/>
      <c r="FR389" s="276"/>
      <c r="FS389" s="276"/>
      <c r="FT389" s="276"/>
      <c r="FU389" s="276"/>
      <c r="FV389" s="276"/>
      <c r="FW389" s="276"/>
      <c r="FX389" s="276"/>
      <c r="FY389" s="276"/>
      <c r="FZ389" s="276"/>
      <c r="GA389" s="276"/>
      <c r="GB389" s="276"/>
      <c r="GC389" s="276"/>
      <c r="GD389" s="276"/>
      <c r="GE389" s="276"/>
      <c r="GF389" s="276"/>
      <c r="GG389" s="276"/>
      <c r="GH389" s="276"/>
      <c r="GI389" s="276"/>
      <c r="GJ389" s="276"/>
      <c r="GK389" s="276"/>
      <c r="GL389" s="276"/>
      <c r="GM389" s="276"/>
      <c r="GN389" s="276"/>
      <c r="GO389" s="276"/>
      <c r="GP389" s="276"/>
      <c r="GQ389" s="276"/>
      <c r="GR389" s="276"/>
      <c r="GS389" s="276"/>
      <c r="GT389" s="276"/>
      <c r="GU389" s="276"/>
      <c r="GV389" s="276"/>
      <c r="GW389" s="276"/>
      <c r="GX389" s="276"/>
      <c r="GY389" s="276"/>
      <c r="GZ389" s="276"/>
      <c r="HA389" s="276"/>
      <c r="HB389" s="276"/>
      <c r="HC389" s="276"/>
      <c r="HD389" s="276"/>
      <c r="HE389" s="276"/>
      <c r="HF389" s="276"/>
      <c r="HG389" s="276"/>
      <c r="HH389" s="276"/>
      <c r="HI389" s="276"/>
      <c r="HJ389" s="276"/>
      <c r="HK389" s="276"/>
      <c r="HL389" s="276"/>
      <c r="HM389" s="276"/>
      <c r="HN389" s="276"/>
      <c r="HO389" s="276"/>
      <c r="HP389" s="276"/>
    </row>
    <row r="390" spans="2:224" s="30" customFormat="1" ht="18.5" customHeight="1" x14ac:dyDescent="0.5">
      <c r="B390" s="329"/>
      <c r="C390" s="344" t="s">
        <v>316</v>
      </c>
      <c r="D390" s="344"/>
      <c r="E390" s="344"/>
      <c r="F390" s="344"/>
      <c r="G390" s="345"/>
      <c r="H390" s="276"/>
      <c r="I390" s="336"/>
      <c r="J390" s="276"/>
      <c r="K390" s="323"/>
      <c r="L390" s="325"/>
      <c r="M390" s="276"/>
      <c r="N390" s="276"/>
      <c r="O390" s="276"/>
      <c r="P390" s="276"/>
      <c r="Q390" s="276"/>
      <c r="R390" s="276"/>
      <c r="S390" s="276"/>
      <c r="T390" s="276"/>
      <c r="U390" s="276"/>
      <c r="V390" s="276"/>
      <c r="W390" s="276"/>
      <c r="X390" s="276"/>
      <c r="Y390" s="276"/>
      <c r="Z390" s="276"/>
      <c r="AA390" s="276"/>
      <c r="AB390" s="276"/>
      <c r="AC390" s="276"/>
      <c r="AD390" s="276"/>
      <c r="AE390" s="276"/>
      <c r="AF390" s="276"/>
      <c r="AG390" s="276"/>
      <c r="AH390" s="276"/>
      <c r="AI390" s="276"/>
      <c r="AJ390" s="276"/>
      <c r="AK390" s="276"/>
      <c r="AL390" s="276"/>
      <c r="AM390" s="276"/>
      <c r="AN390" s="276"/>
      <c r="AO390" s="276"/>
      <c r="AP390" s="276"/>
      <c r="AQ390" s="276"/>
      <c r="AR390" s="276"/>
      <c r="AS390" s="276"/>
      <c r="AT390" s="276"/>
      <c r="AU390" s="276"/>
      <c r="AV390" s="276"/>
      <c r="AW390" s="276"/>
      <c r="AX390" s="276"/>
      <c r="AY390" s="276"/>
      <c r="AZ390" s="276"/>
      <c r="BA390" s="276"/>
      <c r="BB390" s="276"/>
      <c r="BC390" s="276"/>
      <c r="BD390" s="276"/>
      <c r="BE390" s="276"/>
      <c r="BF390" s="276"/>
      <c r="BG390" s="276"/>
      <c r="BH390" s="276"/>
      <c r="BI390" s="276"/>
      <c r="BJ390" s="276"/>
      <c r="BK390" s="276"/>
      <c r="BL390" s="276"/>
      <c r="BM390" s="276"/>
      <c r="BN390" s="276"/>
      <c r="BO390" s="276"/>
      <c r="BP390" s="276"/>
      <c r="BQ390" s="276"/>
      <c r="BR390" s="276"/>
      <c r="BS390" s="276"/>
      <c r="BT390" s="276"/>
      <c r="BU390" s="276"/>
      <c r="BV390" s="276"/>
      <c r="BW390" s="276"/>
      <c r="BX390" s="276"/>
      <c r="BY390" s="276"/>
      <c r="BZ390" s="276"/>
      <c r="CA390" s="276"/>
      <c r="CB390" s="276"/>
      <c r="CC390" s="276"/>
      <c r="CD390" s="276"/>
      <c r="CE390" s="276"/>
      <c r="CF390" s="276"/>
      <c r="CG390" s="276"/>
      <c r="CH390" s="276"/>
      <c r="CI390" s="276"/>
      <c r="CJ390" s="276"/>
      <c r="CK390" s="276"/>
      <c r="CL390" s="276"/>
      <c r="CM390" s="276"/>
      <c r="CN390" s="276"/>
      <c r="CO390" s="276"/>
      <c r="CP390" s="276"/>
      <c r="CQ390" s="276"/>
      <c r="CR390" s="276"/>
      <c r="CS390" s="276"/>
      <c r="CT390" s="276"/>
      <c r="CU390" s="276"/>
      <c r="CV390" s="276"/>
      <c r="CW390" s="276"/>
      <c r="CX390" s="276"/>
      <c r="CY390" s="276"/>
      <c r="CZ390" s="276"/>
      <c r="DA390" s="276"/>
      <c r="DB390" s="276"/>
      <c r="DC390" s="276"/>
      <c r="DD390" s="276"/>
      <c r="DE390" s="276"/>
      <c r="DF390" s="276"/>
      <c r="DG390" s="276"/>
      <c r="DH390" s="276"/>
      <c r="DI390" s="276"/>
      <c r="DJ390" s="276"/>
      <c r="DK390" s="276"/>
      <c r="DL390" s="276"/>
      <c r="DM390" s="276"/>
      <c r="DN390" s="276"/>
      <c r="DO390" s="276"/>
      <c r="DP390" s="276"/>
      <c r="DQ390" s="276"/>
      <c r="DR390" s="276"/>
      <c r="DS390" s="276"/>
      <c r="DT390" s="276"/>
      <c r="DU390" s="276"/>
      <c r="DV390" s="276"/>
      <c r="DW390" s="276"/>
      <c r="DX390" s="276"/>
      <c r="DY390" s="276"/>
      <c r="DZ390" s="276"/>
      <c r="EA390" s="276"/>
      <c r="EB390" s="276"/>
      <c r="EC390" s="276"/>
      <c r="ED390" s="276"/>
      <c r="EE390" s="276"/>
      <c r="EF390" s="276"/>
      <c r="EG390" s="276"/>
      <c r="EH390" s="276"/>
      <c r="EI390" s="276"/>
      <c r="EJ390" s="276"/>
      <c r="EK390" s="276"/>
      <c r="EL390" s="276"/>
      <c r="EM390" s="276"/>
      <c r="EN390" s="276"/>
      <c r="EO390" s="276"/>
      <c r="EP390" s="276"/>
      <c r="EQ390" s="276"/>
      <c r="ER390" s="276"/>
      <c r="ES390" s="276"/>
      <c r="ET390" s="276"/>
      <c r="EU390" s="276"/>
      <c r="EV390" s="276"/>
      <c r="EW390" s="276"/>
      <c r="EX390" s="276"/>
      <c r="EY390" s="276"/>
      <c r="EZ390" s="276"/>
      <c r="FA390" s="276"/>
      <c r="FB390" s="276"/>
      <c r="FC390" s="276"/>
      <c r="FD390" s="276"/>
      <c r="FE390" s="276"/>
      <c r="FF390" s="276"/>
      <c r="FG390" s="276"/>
      <c r="FH390" s="276"/>
      <c r="FI390" s="276"/>
      <c r="FJ390" s="276"/>
      <c r="FK390" s="276"/>
      <c r="FL390" s="276"/>
      <c r="FM390" s="276"/>
      <c r="FN390" s="276"/>
      <c r="FO390" s="276"/>
      <c r="FP390" s="276"/>
      <c r="FQ390" s="276"/>
      <c r="FR390" s="276"/>
      <c r="FS390" s="276"/>
      <c r="FT390" s="276"/>
      <c r="FU390" s="276"/>
      <c r="FV390" s="276"/>
      <c r="FW390" s="276"/>
      <c r="FX390" s="276"/>
      <c r="FY390" s="276"/>
      <c r="FZ390" s="276"/>
      <c r="GA390" s="276"/>
      <c r="GB390" s="276"/>
      <c r="GC390" s="276"/>
      <c r="GD390" s="276"/>
      <c r="GE390" s="276"/>
      <c r="GF390" s="276"/>
      <c r="GG390" s="276"/>
      <c r="GH390" s="276"/>
      <c r="GI390" s="276"/>
      <c r="GJ390" s="276"/>
      <c r="GK390" s="276"/>
      <c r="GL390" s="276"/>
      <c r="GM390" s="276"/>
      <c r="GN390" s="276"/>
      <c r="GO390" s="276"/>
      <c r="GP390" s="276"/>
      <c r="GQ390" s="276"/>
      <c r="GR390" s="276"/>
      <c r="GS390" s="276"/>
      <c r="GT390" s="276"/>
      <c r="GU390" s="276"/>
      <c r="GV390" s="276"/>
      <c r="GW390" s="276"/>
      <c r="GX390" s="276"/>
      <c r="GY390" s="276"/>
      <c r="GZ390" s="276"/>
      <c r="HA390" s="276"/>
      <c r="HB390" s="276"/>
      <c r="HC390" s="276"/>
      <c r="HD390" s="276"/>
      <c r="HE390" s="276"/>
      <c r="HF390" s="276"/>
      <c r="HG390" s="276"/>
      <c r="HH390" s="276"/>
      <c r="HI390" s="276"/>
      <c r="HJ390" s="276"/>
      <c r="HK390" s="276"/>
      <c r="HL390" s="276"/>
      <c r="HM390" s="276"/>
      <c r="HN390" s="276"/>
      <c r="HO390" s="276"/>
      <c r="HP390" s="276"/>
    </row>
    <row r="391" spans="2:224" s="30" customFormat="1" x14ac:dyDescent="0.5">
      <c r="B391" s="329"/>
      <c r="C391" s="32" t="s">
        <v>223</v>
      </c>
      <c r="D391" s="165"/>
      <c r="E391" s="29"/>
      <c r="F391" s="64"/>
      <c r="G391" s="328"/>
      <c r="H391" s="276"/>
      <c r="I391" s="336"/>
      <c r="J391" s="276"/>
      <c r="K391" s="323"/>
      <c r="L391" s="325"/>
      <c r="M391" s="276"/>
      <c r="N391" s="276"/>
      <c r="O391" s="276"/>
      <c r="P391" s="276"/>
      <c r="Q391" s="276"/>
      <c r="R391" s="276"/>
      <c r="S391" s="276"/>
      <c r="T391" s="276"/>
      <c r="U391" s="276"/>
      <c r="V391" s="276"/>
      <c r="W391" s="276"/>
      <c r="X391" s="276"/>
      <c r="Y391" s="276"/>
      <c r="Z391" s="276"/>
      <c r="AA391" s="276"/>
      <c r="AB391" s="276"/>
      <c r="AC391" s="276"/>
      <c r="AD391" s="276"/>
      <c r="AE391" s="276"/>
      <c r="AF391" s="276"/>
      <c r="AG391" s="276"/>
      <c r="AH391" s="276"/>
      <c r="AI391" s="276"/>
      <c r="AJ391" s="276"/>
      <c r="AK391" s="276"/>
      <c r="AL391" s="276"/>
      <c r="AM391" s="276"/>
      <c r="AN391" s="276"/>
      <c r="AO391" s="276"/>
      <c r="AP391" s="276"/>
      <c r="AQ391" s="276"/>
      <c r="AR391" s="276"/>
      <c r="AS391" s="276"/>
      <c r="AT391" s="276"/>
      <c r="AU391" s="276"/>
      <c r="AV391" s="276"/>
      <c r="AW391" s="276"/>
      <c r="AX391" s="276"/>
      <c r="AY391" s="276"/>
      <c r="AZ391" s="276"/>
      <c r="BA391" s="276"/>
      <c r="BB391" s="276"/>
      <c r="BC391" s="276"/>
      <c r="BD391" s="276"/>
      <c r="BE391" s="276"/>
      <c r="BF391" s="276"/>
      <c r="BG391" s="276"/>
      <c r="BH391" s="276"/>
      <c r="BI391" s="276"/>
      <c r="BJ391" s="276"/>
      <c r="BK391" s="276"/>
      <c r="BL391" s="276"/>
      <c r="BM391" s="276"/>
      <c r="BN391" s="276"/>
      <c r="BO391" s="276"/>
      <c r="BP391" s="276"/>
      <c r="BQ391" s="276"/>
      <c r="BR391" s="276"/>
      <c r="BS391" s="276"/>
      <c r="BT391" s="276"/>
      <c r="BU391" s="276"/>
      <c r="BV391" s="276"/>
      <c r="BW391" s="276"/>
      <c r="BX391" s="276"/>
      <c r="BY391" s="276"/>
      <c r="BZ391" s="276"/>
      <c r="CA391" s="276"/>
      <c r="CB391" s="276"/>
      <c r="CC391" s="276"/>
      <c r="CD391" s="276"/>
      <c r="CE391" s="276"/>
      <c r="CF391" s="276"/>
      <c r="CG391" s="276"/>
      <c r="CH391" s="276"/>
      <c r="CI391" s="276"/>
      <c r="CJ391" s="276"/>
      <c r="CK391" s="276"/>
      <c r="CL391" s="276"/>
      <c r="CM391" s="276"/>
      <c r="CN391" s="276"/>
      <c r="CO391" s="276"/>
      <c r="CP391" s="276"/>
      <c r="CQ391" s="276"/>
      <c r="CR391" s="276"/>
      <c r="CS391" s="276"/>
      <c r="CT391" s="276"/>
      <c r="CU391" s="276"/>
      <c r="CV391" s="276"/>
      <c r="CW391" s="276"/>
      <c r="CX391" s="276"/>
      <c r="CY391" s="276"/>
      <c r="CZ391" s="276"/>
      <c r="DA391" s="276"/>
      <c r="DB391" s="276"/>
      <c r="DC391" s="276"/>
      <c r="DD391" s="276"/>
      <c r="DE391" s="276"/>
      <c r="DF391" s="276"/>
      <c r="DG391" s="276"/>
      <c r="DH391" s="276"/>
      <c r="DI391" s="276"/>
      <c r="DJ391" s="276"/>
      <c r="DK391" s="276"/>
      <c r="DL391" s="276"/>
      <c r="DM391" s="276"/>
      <c r="DN391" s="276"/>
      <c r="DO391" s="276"/>
      <c r="DP391" s="276"/>
      <c r="DQ391" s="276"/>
      <c r="DR391" s="276"/>
      <c r="DS391" s="276"/>
      <c r="DT391" s="276"/>
      <c r="DU391" s="276"/>
      <c r="DV391" s="276"/>
      <c r="DW391" s="276"/>
      <c r="DX391" s="276"/>
      <c r="DY391" s="276"/>
      <c r="DZ391" s="276"/>
      <c r="EA391" s="276"/>
      <c r="EB391" s="276"/>
      <c r="EC391" s="276"/>
      <c r="ED391" s="276"/>
      <c r="EE391" s="276"/>
      <c r="EF391" s="276"/>
      <c r="EG391" s="276"/>
      <c r="EH391" s="276"/>
      <c r="EI391" s="276"/>
      <c r="EJ391" s="276"/>
      <c r="EK391" s="276"/>
      <c r="EL391" s="276"/>
      <c r="EM391" s="276"/>
      <c r="EN391" s="276"/>
      <c r="EO391" s="276"/>
      <c r="EP391" s="276"/>
      <c r="EQ391" s="276"/>
      <c r="ER391" s="276"/>
      <c r="ES391" s="276"/>
      <c r="ET391" s="276"/>
      <c r="EU391" s="276"/>
      <c r="EV391" s="276"/>
      <c r="EW391" s="276"/>
      <c r="EX391" s="276"/>
      <c r="EY391" s="276"/>
      <c r="EZ391" s="276"/>
      <c r="FA391" s="276"/>
      <c r="FB391" s="276"/>
      <c r="FC391" s="276"/>
      <c r="FD391" s="276"/>
      <c r="FE391" s="276"/>
      <c r="FF391" s="276"/>
      <c r="FG391" s="276"/>
      <c r="FH391" s="276"/>
      <c r="FI391" s="276"/>
      <c r="FJ391" s="276"/>
      <c r="FK391" s="276"/>
      <c r="FL391" s="276"/>
      <c r="FM391" s="276"/>
      <c r="FN391" s="276"/>
      <c r="FO391" s="276"/>
      <c r="FP391" s="276"/>
      <c r="FQ391" s="276"/>
      <c r="FR391" s="276"/>
      <c r="FS391" s="276"/>
      <c r="FT391" s="276"/>
      <c r="FU391" s="276"/>
      <c r="FV391" s="276"/>
      <c r="FW391" s="276"/>
      <c r="FX391" s="276"/>
      <c r="FY391" s="276"/>
      <c r="FZ391" s="276"/>
      <c r="GA391" s="276"/>
      <c r="GB391" s="276"/>
      <c r="GC391" s="276"/>
      <c r="GD391" s="276"/>
      <c r="GE391" s="276"/>
      <c r="GF391" s="276"/>
      <c r="GG391" s="276"/>
      <c r="GH391" s="276"/>
      <c r="GI391" s="276"/>
      <c r="GJ391" s="276"/>
      <c r="GK391" s="276"/>
      <c r="GL391" s="276"/>
      <c r="GM391" s="276"/>
      <c r="GN391" s="276"/>
      <c r="GO391" s="276"/>
      <c r="GP391" s="276"/>
      <c r="GQ391" s="276"/>
      <c r="GR391" s="276"/>
      <c r="GS391" s="276"/>
      <c r="GT391" s="276"/>
      <c r="GU391" s="276"/>
      <c r="GV391" s="276"/>
      <c r="GW391" s="276"/>
      <c r="GX391" s="276"/>
      <c r="GY391" s="276"/>
      <c r="GZ391" s="276"/>
      <c r="HA391" s="276"/>
      <c r="HB391" s="276"/>
      <c r="HC391" s="276"/>
      <c r="HD391" s="276"/>
      <c r="HE391" s="276"/>
      <c r="HF391" s="276"/>
      <c r="HG391" s="276"/>
      <c r="HH391" s="276"/>
      <c r="HI391" s="276"/>
      <c r="HJ391" s="276"/>
      <c r="HK391" s="276"/>
      <c r="HL391" s="276"/>
      <c r="HM391" s="276"/>
      <c r="HN391" s="276"/>
      <c r="HO391" s="276"/>
      <c r="HP391" s="276"/>
    </row>
    <row r="392" spans="2:224" s="30" customFormat="1" x14ac:dyDescent="0.5">
      <c r="B392" s="329"/>
      <c r="C392" s="32" t="s">
        <v>132</v>
      </c>
      <c r="D392" s="165"/>
      <c r="E392" s="29"/>
      <c r="F392" s="64"/>
      <c r="G392" s="328"/>
      <c r="H392" s="276"/>
      <c r="I392" s="336"/>
      <c r="J392" s="276"/>
      <c r="K392" s="323"/>
      <c r="L392" s="325"/>
      <c r="M392" s="276"/>
      <c r="N392" s="276"/>
      <c r="O392" s="276"/>
      <c r="P392" s="276"/>
      <c r="Q392" s="276"/>
      <c r="R392" s="276"/>
      <c r="S392" s="276"/>
      <c r="T392" s="276"/>
      <c r="U392" s="276"/>
      <c r="V392" s="276"/>
      <c r="W392" s="276"/>
      <c r="X392" s="276"/>
      <c r="Y392" s="276"/>
      <c r="Z392" s="276"/>
      <c r="AA392" s="276"/>
      <c r="AB392" s="276"/>
      <c r="AC392" s="276"/>
      <c r="AD392" s="276"/>
      <c r="AE392" s="276"/>
      <c r="AF392" s="276"/>
      <c r="AG392" s="276"/>
      <c r="AH392" s="276"/>
      <c r="AI392" s="276"/>
      <c r="AJ392" s="276"/>
      <c r="AK392" s="276"/>
      <c r="AL392" s="276"/>
      <c r="AM392" s="276"/>
      <c r="AN392" s="276"/>
      <c r="AO392" s="276"/>
      <c r="AP392" s="276"/>
      <c r="AQ392" s="276"/>
      <c r="AR392" s="276"/>
      <c r="AS392" s="276"/>
      <c r="AT392" s="276"/>
      <c r="AU392" s="276"/>
      <c r="AV392" s="276"/>
      <c r="AW392" s="276"/>
      <c r="AX392" s="276"/>
      <c r="AY392" s="276"/>
      <c r="AZ392" s="276"/>
      <c r="BA392" s="276"/>
      <c r="BB392" s="276"/>
      <c r="BC392" s="276"/>
      <c r="BD392" s="276"/>
      <c r="BE392" s="276"/>
      <c r="BF392" s="276"/>
      <c r="BG392" s="276"/>
      <c r="BH392" s="276"/>
      <c r="BI392" s="276"/>
      <c r="BJ392" s="276"/>
      <c r="BK392" s="276"/>
      <c r="BL392" s="276"/>
      <c r="BM392" s="276"/>
      <c r="BN392" s="276"/>
      <c r="BO392" s="276"/>
      <c r="BP392" s="276"/>
      <c r="BQ392" s="276"/>
      <c r="BR392" s="276"/>
      <c r="BS392" s="276"/>
      <c r="BT392" s="276"/>
      <c r="BU392" s="276"/>
      <c r="BV392" s="276"/>
      <c r="BW392" s="276"/>
      <c r="BX392" s="276"/>
      <c r="BY392" s="276"/>
      <c r="BZ392" s="276"/>
      <c r="CA392" s="276"/>
      <c r="CB392" s="276"/>
      <c r="CC392" s="276"/>
      <c r="CD392" s="276"/>
      <c r="CE392" s="276"/>
      <c r="CF392" s="276"/>
      <c r="CG392" s="276"/>
      <c r="CH392" s="276"/>
      <c r="CI392" s="276"/>
      <c r="CJ392" s="276"/>
      <c r="CK392" s="276"/>
      <c r="CL392" s="276"/>
      <c r="CM392" s="276"/>
      <c r="CN392" s="276"/>
      <c r="CO392" s="276"/>
      <c r="CP392" s="276"/>
      <c r="CQ392" s="276"/>
      <c r="CR392" s="276"/>
      <c r="CS392" s="276"/>
      <c r="CT392" s="276"/>
      <c r="CU392" s="276"/>
      <c r="CV392" s="276"/>
      <c r="CW392" s="276"/>
      <c r="CX392" s="276"/>
      <c r="CY392" s="276"/>
      <c r="CZ392" s="276"/>
      <c r="DA392" s="276"/>
      <c r="DB392" s="276"/>
      <c r="DC392" s="276"/>
      <c r="DD392" s="276"/>
      <c r="DE392" s="276"/>
      <c r="DF392" s="276"/>
      <c r="DG392" s="276"/>
      <c r="DH392" s="276"/>
      <c r="DI392" s="276"/>
      <c r="DJ392" s="276"/>
      <c r="DK392" s="276"/>
      <c r="DL392" s="276"/>
      <c r="DM392" s="276"/>
      <c r="DN392" s="276"/>
      <c r="DO392" s="276"/>
      <c r="DP392" s="276"/>
      <c r="DQ392" s="276"/>
      <c r="DR392" s="276"/>
      <c r="DS392" s="276"/>
      <c r="DT392" s="276"/>
      <c r="DU392" s="276"/>
      <c r="DV392" s="276"/>
      <c r="DW392" s="276"/>
      <c r="DX392" s="276"/>
      <c r="DY392" s="276"/>
      <c r="DZ392" s="276"/>
      <c r="EA392" s="276"/>
      <c r="EB392" s="276"/>
      <c r="EC392" s="276"/>
      <c r="ED392" s="276"/>
      <c r="EE392" s="276"/>
      <c r="EF392" s="276"/>
      <c r="EG392" s="276"/>
      <c r="EH392" s="276"/>
      <c r="EI392" s="276"/>
      <c r="EJ392" s="276"/>
      <c r="EK392" s="276"/>
      <c r="EL392" s="276"/>
      <c r="EM392" s="276"/>
      <c r="EN392" s="276"/>
      <c r="EO392" s="276"/>
      <c r="EP392" s="276"/>
      <c r="EQ392" s="276"/>
      <c r="ER392" s="276"/>
      <c r="ES392" s="276"/>
      <c r="ET392" s="276"/>
      <c r="EU392" s="276"/>
      <c r="EV392" s="276"/>
      <c r="EW392" s="276"/>
      <c r="EX392" s="276"/>
      <c r="EY392" s="276"/>
      <c r="EZ392" s="276"/>
      <c r="FA392" s="276"/>
      <c r="FB392" s="276"/>
      <c r="FC392" s="276"/>
      <c r="FD392" s="276"/>
      <c r="FE392" s="276"/>
      <c r="FF392" s="276"/>
      <c r="FG392" s="276"/>
      <c r="FH392" s="276"/>
      <c r="FI392" s="276"/>
      <c r="FJ392" s="276"/>
      <c r="FK392" s="276"/>
      <c r="FL392" s="276"/>
      <c r="FM392" s="276"/>
      <c r="FN392" s="276"/>
      <c r="FO392" s="276"/>
      <c r="FP392" s="276"/>
      <c r="FQ392" s="276"/>
      <c r="FR392" s="276"/>
      <c r="FS392" s="276"/>
      <c r="FT392" s="276"/>
      <c r="FU392" s="276"/>
      <c r="FV392" s="276"/>
      <c r="FW392" s="276"/>
      <c r="FX392" s="276"/>
      <c r="FY392" s="276"/>
      <c r="FZ392" s="276"/>
      <c r="GA392" s="276"/>
      <c r="GB392" s="276"/>
      <c r="GC392" s="276"/>
      <c r="GD392" s="276"/>
      <c r="GE392" s="276"/>
      <c r="GF392" s="276"/>
      <c r="GG392" s="276"/>
      <c r="GH392" s="276"/>
      <c r="GI392" s="276"/>
      <c r="GJ392" s="276"/>
      <c r="GK392" s="276"/>
      <c r="GL392" s="276"/>
      <c r="GM392" s="276"/>
      <c r="GN392" s="276"/>
      <c r="GO392" s="276"/>
      <c r="GP392" s="276"/>
      <c r="GQ392" s="276"/>
      <c r="GR392" s="276"/>
      <c r="GS392" s="276"/>
      <c r="GT392" s="276"/>
      <c r="GU392" s="276"/>
      <c r="GV392" s="276"/>
      <c r="GW392" s="276"/>
      <c r="GX392" s="276"/>
      <c r="GY392" s="276"/>
      <c r="GZ392" s="276"/>
      <c r="HA392" s="276"/>
      <c r="HB392" s="276"/>
      <c r="HC392" s="276"/>
      <c r="HD392" s="276"/>
      <c r="HE392" s="276"/>
      <c r="HF392" s="276"/>
      <c r="HG392" s="276"/>
      <c r="HH392" s="276"/>
      <c r="HI392" s="276"/>
      <c r="HJ392" s="276"/>
      <c r="HK392" s="276"/>
      <c r="HL392" s="276"/>
      <c r="HM392" s="276"/>
      <c r="HN392" s="276"/>
      <c r="HO392" s="276"/>
      <c r="HP392" s="276"/>
    </row>
    <row r="393" spans="2:224" s="30" customFormat="1" x14ac:dyDescent="0.5">
      <c r="B393" s="329"/>
      <c r="C393" s="32" t="s">
        <v>133</v>
      </c>
      <c r="D393" s="165"/>
      <c r="E393" s="29"/>
      <c r="F393" s="64"/>
      <c r="G393" s="328"/>
      <c r="H393" s="276"/>
      <c r="I393" s="336"/>
      <c r="J393" s="276"/>
      <c r="K393" s="323"/>
      <c r="L393" s="325"/>
      <c r="M393" s="276"/>
      <c r="N393" s="276"/>
      <c r="O393" s="276"/>
      <c r="P393" s="276"/>
      <c r="Q393" s="276"/>
      <c r="R393" s="276"/>
      <c r="S393" s="276"/>
      <c r="T393" s="276"/>
      <c r="U393" s="276"/>
      <c r="V393" s="276"/>
      <c r="W393" s="276"/>
      <c r="X393" s="276"/>
      <c r="Y393" s="276"/>
      <c r="Z393" s="276"/>
      <c r="AA393" s="276"/>
      <c r="AB393" s="276"/>
      <c r="AC393" s="276"/>
      <c r="AD393" s="276"/>
      <c r="AE393" s="276"/>
      <c r="AF393" s="276"/>
      <c r="AG393" s="276"/>
      <c r="AH393" s="276"/>
      <c r="AI393" s="276"/>
      <c r="AJ393" s="276"/>
      <c r="AK393" s="276"/>
      <c r="AL393" s="276"/>
      <c r="AM393" s="276"/>
      <c r="AN393" s="276"/>
      <c r="AO393" s="276"/>
      <c r="AP393" s="276"/>
      <c r="AQ393" s="276"/>
      <c r="AR393" s="276"/>
      <c r="AS393" s="276"/>
      <c r="AT393" s="276"/>
      <c r="AU393" s="276"/>
      <c r="AV393" s="276"/>
      <c r="AW393" s="276"/>
      <c r="AX393" s="276"/>
      <c r="AY393" s="276"/>
      <c r="AZ393" s="276"/>
      <c r="BA393" s="276"/>
      <c r="BB393" s="276"/>
      <c r="BC393" s="276"/>
      <c r="BD393" s="276"/>
      <c r="BE393" s="276"/>
      <c r="BF393" s="276"/>
      <c r="BG393" s="276"/>
      <c r="BH393" s="276"/>
      <c r="BI393" s="276"/>
      <c r="BJ393" s="276"/>
      <c r="BK393" s="276"/>
      <c r="BL393" s="276"/>
      <c r="BM393" s="276"/>
      <c r="BN393" s="276"/>
      <c r="BO393" s="276"/>
      <c r="BP393" s="276"/>
      <c r="BQ393" s="276"/>
      <c r="BR393" s="276"/>
      <c r="BS393" s="276"/>
      <c r="BT393" s="276"/>
      <c r="BU393" s="276"/>
      <c r="BV393" s="276"/>
      <c r="BW393" s="276"/>
      <c r="BX393" s="276"/>
      <c r="BY393" s="276"/>
      <c r="BZ393" s="276"/>
      <c r="CA393" s="276"/>
      <c r="CB393" s="276"/>
      <c r="CC393" s="276"/>
      <c r="CD393" s="276"/>
      <c r="CE393" s="276"/>
      <c r="CF393" s="276"/>
      <c r="CG393" s="276"/>
      <c r="CH393" s="276"/>
      <c r="CI393" s="276"/>
      <c r="CJ393" s="276"/>
      <c r="CK393" s="276"/>
      <c r="CL393" s="276"/>
      <c r="CM393" s="276"/>
      <c r="CN393" s="276"/>
      <c r="CO393" s="276"/>
      <c r="CP393" s="276"/>
      <c r="CQ393" s="276"/>
      <c r="CR393" s="276"/>
      <c r="CS393" s="276"/>
      <c r="CT393" s="276"/>
      <c r="CU393" s="276"/>
      <c r="CV393" s="276"/>
      <c r="CW393" s="276"/>
      <c r="CX393" s="276"/>
      <c r="CY393" s="276"/>
      <c r="CZ393" s="276"/>
      <c r="DA393" s="276"/>
      <c r="DB393" s="276"/>
      <c r="DC393" s="276"/>
      <c r="DD393" s="276"/>
      <c r="DE393" s="276"/>
      <c r="DF393" s="276"/>
      <c r="DG393" s="276"/>
      <c r="DH393" s="276"/>
      <c r="DI393" s="276"/>
      <c r="DJ393" s="276"/>
      <c r="DK393" s="276"/>
      <c r="DL393" s="276"/>
      <c r="DM393" s="276"/>
      <c r="DN393" s="276"/>
      <c r="DO393" s="276"/>
      <c r="DP393" s="276"/>
      <c r="DQ393" s="276"/>
      <c r="DR393" s="276"/>
      <c r="DS393" s="276"/>
      <c r="DT393" s="276"/>
      <c r="DU393" s="276"/>
      <c r="DV393" s="276"/>
      <c r="DW393" s="276"/>
      <c r="DX393" s="276"/>
      <c r="DY393" s="276"/>
      <c r="DZ393" s="276"/>
      <c r="EA393" s="276"/>
      <c r="EB393" s="276"/>
      <c r="EC393" s="276"/>
      <c r="ED393" s="276"/>
      <c r="EE393" s="276"/>
      <c r="EF393" s="276"/>
      <c r="EG393" s="276"/>
      <c r="EH393" s="276"/>
      <c r="EI393" s="276"/>
      <c r="EJ393" s="276"/>
      <c r="EK393" s="276"/>
      <c r="EL393" s="276"/>
      <c r="EM393" s="276"/>
      <c r="EN393" s="276"/>
      <c r="EO393" s="276"/>
      <c r="EP393" s="276"/>
      <c r="EQ393" s="276"/>
      <c r="ER393" s="276"/>
      <c r="ES393" s="276"/>
      <c r="ET393" s="276"/>
      <c r="EU393" s="276"/>
      <c r="EV393" s="276"/>
      <c r="EW393" s="276"/>
      <c r="EX393" s="276"/>
      <c r="EY393" s="276"/>
      <c r="EZ393" s="276"/>
      <c r="FA393" s="276"/>
      <c r="FB393" s="276"/>
      <c r="FC393" s="276"/>
      <c r="FD393" s="276"/>
      <c r="FE393" s="276"/>
      <c r="FF393" s="276"/>
      <c r="FG393" s="276"/>
      <c r="FH393" s="276"/>
      <c r="FI393" s="276"/>
      <c r="FJ393" s="276"/>
      <c r="FK393" s="276"/>
      <c r="FL393" s="276"/>
      <c r="FM393" s="276"/>
      <c r="FN393" s="276"/>
      <c r="FO393" s="276"/>
      <c r="FP393" s="276"/>
      <c r="FQ393" s="276"/>
      <c r="FR393" s="276"/>
      <c r="FS393" s="276"/>
      <c r="FT393" s="276"/>
      <c r="FU393" s="276"/>
      <c r="FV393" s="276"/>
      <c r="FW393" s="276"/>
      <c r="FX393" s="276"/>
      <c r="FY393" s="276"/>
      <c r="FZ393" s="276"/>
      <c r="GA393" s="276"/>
      <c r="GB393" s="276"/>
      <c r="GC393" s="276"/>
      <c r="GD393" s="276"/>
      <c r="GE393" s="276"/>
      <c r="GF393" s="276"/>
      <c r="GG393" s="276"/>
      <c r="GH393" s="276"/>
      <c r="GI393" s="276"/>
      <c r="GJ393" s="276"/>
      <c r="GK393" s="276"/>
      <c r="GL393" s="276"/>
      <c r="GM393" s="276"/>
      <c r="GN393" s="276"/>
      <c r="GO393" s="276"/>
      <c r="GP393" s="276"/>
      <c r="GQ393" s="276"/>
      <c r="GR393" s="276"/>
      <c r="GS393" s="276"/>
      <c r="GT393" s="276"/>
      <c r="GU393" s="276"/>
      <c r="GV393" s="276"/>
      <c r="GW393" s="276"/>
      <c r="GX393" s="276"/>
      <c r="GY393" s="276"/>
      <c r="GZ393" s="276"/>
      <c r="HA393" s="276"/>
      <c r="HB393" s="276"/>
      <c r="HC393" s="276"/>
      <c r="HD393" s="276"/>
      <c r="HE393" s="276"/>
      <c r="HF393" s="276"/>
      <c r="HG393" s="276"/>
      <c r="HH393" s="276"/>
      <c r="HI393" s="276"/>
      <c r="HJ393" s="276"/>
      <c r="HK393" s="276"/>
      <c r="HL393" s="276"/>
      <c r="HM393" s="276"/>
      <c r="HN393" s="276"/>
      <c r="HO393" s="276"/>
      <c r="HP393" s="276"/>
    </row>
    <row r="394" spans="2:224" s="30" customFormat="1" x14ac:dyDescent="0.5">
      <c r="B394" s="329"/>
      <c r="C394" s="32" t="s">
        <v>224</v>
      </c>
      <c r="D394" s="165"/>
      <c r="E394" s="29"/>
      <c r="F394" s="64"/>
      <c r="G394" s="328"/>
      <c r="H394" s="276"/>
      <c r="I394" s="336"/>
      <c r="J394" s="276"/>
      <c r="K394" s="323"/>
      <c r="L394" s="325"/>
      <c r="M394" s="276"/>
      <c r="N394" s="276"/>
      <c r="O394" s="276"/>
      <c r="P394" s="276"/>
      <c r="Q394" s="276"/>
      <c r="R394" s="276"/>
      <c r="S394" s="276"/>
      <c r="T394" s="276"/>
      <c r="U394" s="276"/>
      <c r="V394" s="276"/>
      <c r="W394" s="276"/>
      <c r="X394" s="276"/>
      <c r="Y394" s="276"/>
      <c r="Z394" s="276"/>
      <c r="AA394" s="276"/>
      <c r="AB394" s="276"/>
      <c r="AC394" s="276"/>
      <c r="AD394" s="276"/>
      <c r="AE394" s="276"/>
      <c r="AF394" s="276"/>
      <c r="AG394" s="276"/>
      <c r="AH394" s="276"/>
      <c r="AI394" s="276"/>
      <c r="AJ394" s="276"/>
      <c r="AK394" s="276"/>
      <c r="AL394" s="276"/>
      <c r="AM394" s="276"/>
      <c r="AN394" s="276"/>
      <c r="AO394" s="276"/>
      <c r="AP394" s="276"/>
      <c r="AQ394" s="276"/>
      <c r="AR394" s="276"/>
      <c r="AS394" s="276"/>
      <c r="AT394" s="276"/>
      <c r="AU394" s="276"/>
      <c r="AV394" s="276"/>
      <c r="AW394" s="276"/>
      <c r="AX394" s="276"/>
      <c r="AY394" s="276"/>
      <c r="AZ394" s="276"/>
      <c r="BA394" s="276"/>
      <c r="BB394" s="276"/>
      <c r="BC394" s="276"/>
      <c r="BD394" s="276"/>
      <c r="BE394" s="276"/>
      <c r="BF394" s="276"/>
      <c r="BG394" s="276"/>
      <c r="BH394" s="276"/>
      <c r="BI394" s="276"/>
      <c r="BJ394" s="276"/>
      <c r="BK394" s="276"/>
      <c r="BL394" s="276"/>
      <c r="BM394" s="276"/>
      <c r="BN394" s="276"/>
      <c r="BO394" s="276"/>
      <c r="BP394" s="276"/>
      <c r="BQ394" s="276"/>
      <c r="BR394" s="276"/>
      <c r="BS394" s="276"/>
      <c r="BT394" s="276"/>
      <c r="BU394" s="276"/>
      <c r="BV394" s="276"/>
      <c r="BW394" s="276"/>
      <c r="BX394" s="276"/>
      <c r="BY394" s="276"/>
      <c r="BZ394" s="276"/>
      <c r="CA394" s="276"/>
      <c r="CB394" s="276"/>
      <c r="CC394" s="276"/>
      <c r="CD394" s="276"/>
      <c r="CE394" s="276"/>
      <c r="CF394" s="276"/>
      <c r="CG394" s="276"/>
      <c r="CH394" s="276"/>
      <c r="CI394" s="276"/>
      <c r="CJ394" s="276"/>
      <c r="CK394" s="276"/>
      <c r="CL394" s="276"/>
      <c r="CM394" s="276"/>
      <c r="CN394" s="276"/>
      <c r="CO394" s="276"/>
      <c r="CP394" s="276"/>
      <c r="CQ394" s="276"/>
      <c r="CR394" s="276"/>
      <c r="CS394" s="276"/>
      <c r="CT394" s="276"/>
      <c r="CU394" s="276"/>
      <c r="CV394" s="276"/>
      <c r="CW394" s="276"/>
      <c r="CX394" s="276"/>
      <c r="CY394" s="276"/>
      <c r="CZ394" s="276"/>
      <c r="DA394" s="276"/>
      <c r="DB394" s="276"/>
      <c r="DC394" s="276"/>
      <c r="DD394" s="276"/>
      <c r="DE394" s="276"/>
      <c r="DF394" s="276"/>
      <c r="DG394" s="276"/>
      <c r="DH394" s="276"/>
      <c r="DI394" s="276"/>
      <c r="DJ394" s="276"/>
      <c r="DK394" s="276"/>
      <c r="DL394" s="276"/>
      <c r="DM394" s="276"/>
      <c r="DN394" s="276"/>
      <c r="DO394" s="276"/>
      <c r="DP394" s="276"/>
      <c r="DQ394" s="276"/>
      <c r="DR394" s="276"/>
      <c r="DS394" s="276"/>
      <c r="DT394" s="276"/>
      <c r="DU394" s="276"/>
      <c r="DV394" s="276"/>
      <c r="DW394" s="276"/>
      <c r="DX394" s="276"/>
      <c r="DY394" s="276"/>
      <c r="DZ394" s="276"/>
      <c r="EA394" s="276"/>
      <c r="EB394" s="276"/>
      <c r="EC394" s="276"/>
      <c r="ED394" s="276"/>
      <c r="EE394" s="276"/>
      <c r="EF394" s="276"/>
      <c r="EG394" s="276"/>
      <c r="EH394" s="276"/>
      <c r="EI394" s="276"/>
      <c r="EJ394" s="276"/>
      <c r="EK394" s="276"/>
      <c r="EL394" s="276"/>
      <c r="EM394" s="276"/>
      <c r="EN394" s="276"/>
      <c r="EO394" s="276"/>
      <c r="EP394" s="276"/>
      <c r="EQ394" s="276"/>
      <c r="ER394" s="276"/>
      <c r="ES394" s="276"/>
      <c r="ET394" s="276"/>
      <c r="EU394" s="276"/>
      <c r="EV394" s="276"/>
      <c r="EW394" s="276"/>
      <c r="EX394" s="276"/>
      <c r="EY394" s="276"/>
      <c r="EZ394" s="276"/>
      <c r="FA394" s="276"/>
      <c r="FB394" s="276"/>
      <c r="FC394" s="276"/>
      <c r="FD394" s="276"/>
      <c r="FE394" s="276"/>
      <c r="FF394" s="276"/>
      <c r="FG394" s="276"/>
      <c r="FH394" s="276"/>
      <c r="FI394" s="276"/>
      <c r="FJ394" s="276"/>
      <c r="FK394" s="276"/>
      <c r="FL394" s="276"/>
      <c r="FM394" s="276"/>
      <c r="FN394" s="276"/>
      <c r="FO394" s="276"/>
      <c r="FP394" s="276"/>
      <c r="FQ394" s="276"/>
      <c r="FR394" s="276"/>
      <c r="FS394" s="276"/>
      <c r="FT394" s="276"/>
      <c r="FU394" s="276"/>
      <c r="FV394" s="276"/>
      <c r="FW394" s="276"/>
      <c r="FX394" s="276"/>
      <c r="FY394" s="276"/>
      <c r="FZ394" s="276"/>
      <c r="GA394" s="276"/>
      <c r="GB394" s="276"/>
      <c r="GC394" s="276"/>
      <c r="GD394" s="276"/>
      <c r="GE394" s="276"/>
      <c r="GF394" s="276"/>
      <c r="GG394" s="276"/>
      <c r="GH394" s="276"/>
      <c r="GI394" s="276"/>
      <c r="GJ394" s="276"/>
      <c r="GK394" s="276"/>
      <c r="GL394" s="276"/>
      <c r="GM394" s="276"/>
      <c r="GN394" s="276"/>
      <c r="GO394" s="276"/>
      <c r="GP394" s="276"/>
      <c r="GQ394" s="276"/>
      <c r="GR394" s="276"/>
      <c r="GS394" s="276"/>
      <c r="GT394" s="276"/>
      <c r="GU394" s="276"/>
      <c r="GV394" s="276"/>
      <c r="GW394" s="276"/>
      <c r="GX394" s="276"/>
      <c r="GY394" s="276"/>
      <c r="GZ394" s="276"/>
      <c r="HA394" s="276"/>
      <c r="HB394" s="276"/>
      <c r="HC394" s="276"/>
      <c r="HD394" s="276"/>
      <c r="HE394" s="276"/>
      <c r="HF394" s="276"/>
      <c r="HG394" s="276"/>
      <c r="HH394" s="276"/>
      <c r="HI394" s="276"/>
      <c r="HJ394" s="276"/>
      <c r="HK394" s="276"/>
      <c r="HL394" s="276"/>
      <c r="HM394" s="276"/>
      <c r="HN394" s="276"/>
      <c r="HO394" s="276"/>
      <c r="HP394" s="276"/>
    </row>
    <row r="395" spans="2:224" s="30" customFormat="1" x14ac:dyDescent="0.5">
      <c r="B395" s="329"/>
      <c r="C395" s="32" t="s">
        <v>134</v>
      </c>
      <c r="D395" s="165"/>
      <c r="E395" s="29"/>
      <c r="F395" s="64"/>
      <c r="G395" s="328"/>
      <c r="H395" s="276"/>
      <c r="I395" s="336"/>
      <c r="J395" s="276"/>
      <c r="K395" s="323"/>
      <c r="L395" s="325"/>
      <c r="M395" s="276"/>
      <c r="N395" s="276"/>
      <c r="O395" s="276"/>
      <c r="P395" s="276"/>
      <c r="Q395" s="276"/>
      <c r="R395" s="276"/>
      <c r="S395" s="276"/>
      <c r="T395" s="276"/>
      <c r="U395" s="276"/>
      <c r="V395" s="276"/>
      <c r="W395" s="276"/>
      <c r="X395" s="276"/>
      <c r="Y395" s="276"/>
      <c r="Z395" s="276"/>
      <c r="AA395" s="276"/>
      <c r="AB395" s="276"/>
      <c r="AC395" s="276"/>
      <c r="AD395" s="276"/>
      <c r="AE395" s="276"/>
      <c r="AF395" s="276"/>
      <c r="AG395" s="276"/>
      <c r="AH395" s="276"/>
      <c r="AI395" s="276"/>
      <c r="AJ395" s="276"/>
      <c r="AK395" s="276"/>
      <c r="AL395" s="276"/>
      <c r="AM395" s="276"/>
      <c r="AN395" s="276"/>
      <c r="AO395" s="276"/>
      <c r="AP395" s="276"/>
      <c r="AQ395" s="276"/>
      <c r="AR395" s="276"/>
      <c r="AS395" s="276"/>
      <c r="AT395" s="276"/>
      <c r="AU395" s="276"/>
      <c r="AV395" s="276"/>
      <c r="AW395" s="276"/>
      <c r="AX395" s="276"/>
      <c r="AY395" s="276"/>
      <c r="AZ395" s="276"/>
      <c r="BA395" s="276"/>
      <c r="BB395" s="276"/>
      <c r="BC395" s="276"/>
      <c r="BD395" s="276"/>
      <c r="BE395" s="276"/>
      <c r="BF395" s="276"/>
      <c r="BG395" s="276"/>
      <c r="BH395" s="276"/>
      <c r="BI395" s="276"/>
      <c r="BJ395" s="276"/>
      <c r="BK395" s="276"/>
      <c r="BL395" s="276"/>
      <c r="BM395" s="276"/>
      <c r="BN395" s="276"/>
      <c r="BO395" s="276"/>
      <c r="BP395" s="276"/>
      <c r="BQ395" s="276"/>
      <c r="BR395" s="276"/>
      <c r="BS395" s="276"/>
      <c r="BT395" s="276"/>
      <c r="BU395" s="276"/>
      <c r="BV395" s="276"/>
      <c r="BW395" s="276"/>
      <c r="BX395" s="276"/>
      <c r="BY395" s="276"/>
      <c r="BZ395" s="276"/>
      <c r="CA395" s="276"/>
      <c r="CB395" s="276"/>
      <c r="CC395" s="276"/>
      <c r="CD395" s="276"/>
      <c r="CE395" s="276"/>
      <c r="CF395" s="276"/>
      <c r="CG395" s="276"/>
      <c r="CH395" s="276"/>
      <c r="CI395" s="276"/>
      <c r="CJ395" s="276"/>
      <c r="CK395" s="276"/>
      <c r="CL395" s="276"/>
      <c r="CM395" s="276"/>
      <c r="CN395" s="276"/>
      <c r="CO395" s="276"/>
      <c r="CP395" s="276"/>
      <c r="CQ395" s="276"/>
      <c r="CR395" s="276"/>
      <c r="CS395" s="276"/>
      <c r="CT395" s="276"/>
      <c r="CU395" s="276"/>
      <c r="CV395" s="276"/>
      <c r="CW395" s="276"/>
      <c r="CX395" s="276"/>
      <c r="CY395" s="276"/>
      <c r="CZ395" s="276"/>
      <c r="DA395" s="276"/>
      <c r="DB395" s="276"/>
      <c r="DC395" s="276"/>
      <c r="DD395" s="276"/>
      <c r="DE395" s="276"/>
      <c r="DF395" s="276"/>
      <c r="DG395" s="276"/>
      <c r="DH395" s="276"/>
      <c r="DI395" s="276"/>
      <c r="DJ395" s="276"/>
      <c r="DK395" s="276"/>
      <c r="DL395" s="276"/>
      <c r="DM395" s="276"/>
      <c r="DN395" s="276"/>
      <c r="DO395" s="276"/>
      <c r="DP395" s="276"/>
      <c r="DQ395" s="276"/>
      <c r="DR395" s="276"/>
      <c r="DS395" s="276"/>
      <c r="DT395" s="276"/>
      <c r="DU395" s="276"/>
      <c r="DV395" s="276"/>
      <c r="DW395" s="276"/>
      <c r="DX395" s="276"/>
      <c r="DY395" s="276"/>
      <c r="DZ395" s="276"/>
      <c r="EA395" s="276"/>
      <c r="EB395" s="276"/>
      <c r="EC395" s="276"/>
      <c r="ED395" s="276"/>
      <c r="EE395" s="276"/>
      <c r="EF395" s="276"/>
      <c r="EG395" s="276"/>
      <c r="EH395" s="276"/>
      <c r="EI395" s="276"/>
      <c r="EJ395" s="276"/>
      <c r="EK395" s="276"/>
      <c r="EL395" s="276"/>
      <c r="EM395" s="276"/>
      <c r="EN395" s="276"/>
      <c r="EO395" s="276"/>
      <c r="EP395" s="276"/>
      <c r="EQ395" s="276"/>
      <c r="ER395" s="276"/>
      <c r="ES395" s="276"/>
      <c r="ET395" s="276"/>
      <c r="EU395" s="276"/>
      <c r="EV395" s="276"/>
      <c r="EW395" s="276"/>
      <c r="EX395" s="276"/>
      <c r="EY395" s="276"/>
      <c r="EZ395" s="276"/>
      <c r="FA395" s="276"/>
      <c r="FB395" s="276"/>
      <c r="FC395" s="276"/>
      <c r="FD395" s="276"/>
      <c r="FE395" s="276"/>
      <c r="FF395" s="276"/>
      <c r="FG395" s="276"/>
      <c r="FH395" s="276"/>
      <c r="FI395" s="276"/>
      <c r="FJ395" s="276"/>
      <c r="FK395" s="276"/>
      <c r="FL395" s="276"/>
      <c r="FM395" s="276"/>
      <c r="FN395" s="276"/>
      <c r="FO395" s="276"/>
      <c r="FP395" s="276"/>
      <c r="FQ395" s="276"/>
      <c r="FR395" s="276"/>
      <c r="FS395" s="276"/>
      <c r="FT395" s="276"/>
      <c r="FU395" s="276"/>
      <c r="FV395" s="276"/>
      <c r="FW395" s="276"/>
      <c r="FX395" s="276"/>
      <c r="FY395" s="276"/>
      <c r="FZ395" s="276"/>
      <c r="GA395" s="276"/>
      <c r="GB395" s="276"/>
      <c r="GC395" s="276"/>
      <c r="GD395" s="276"/>
      <c r="GE395" s="276"/>
      <c r="GF395" s="276"/>
      <c r="GG395" s="276"/>
      <c r="GH395" s="276"/>
      <c r="GI395" s="276"/>
      <c r="GJ395" s="276"/>
      <c r="GK395" s="276"/>
      <c r="GL395" s="276"/>
      <c r="GM395" s="276"/>
      <c r="GN395" s="276"/>
      <c r="GO395" s="276"/>
      <c r="GP395" s="276"/>
      <c r="GQ395" s="276"/>
      <c r="GR395" s="276"/>
      <c r="GS395" s="276"/>
      <c r="GT395" s="276"/>
      <c r="GU395" s="276"/>
      <c r="GV395" s="276"/>
      <c r="GW395" s="276"/>
      <c r="GX395" s="276"/>
      <c r="GY395" s="276"/>
      <c r="GZ395" s="276"/>
      <c r="HA395" s="276"/>
      <c r="HB395" s="276"/>
      <c r="HC395" s="276"/>
      <c r="HD395" s="276"/>
      <c r="HE395" s="276"/>
      <c r="HF395" s="276"/>
      <c r="HG395" s="276"/>
      <c r="HH395" s="276"/>
      <c r="HI395" s="276"/>
      <c r="HJ395" s="276"/>
      <c r="HK395" s="276"/>
      <c r="HL395" s="276"/>
      <c r="HM395" s="276"/>
      <c r="HN395" s="276"/>
      <c r="HO395" s="276"/>
      <c r="HP395" s="276"/>
    </row>
    <row r="396" spans="2:224" s="30" customFormat="1" x14ac:dyDescent="0.5">
      <c r="B396" s="329"/>
      <c r="C396" s="32" t="s">
        <v>135</v>
      </c>
      <c r="D396" s="165"/>
      <c r="E396" s="29"/>
      <c r="F396" s="64"/>
      <c r="G396" s="328"/>
      <c r="H396" s="276"/>
      <c r="I396" s="336"/>
      <c r="J396" s="276"/>
      <c r="K396" s="323"/>
      <c r="L396" s="325"/>
      <c r="M396" s="276"/>
      <c r="N396" s="276"/>
      <c r="O396" s="276"/>
      <c r="P396" s="276"/>
      <c r="Q396" s="276"/>
      <c r="R396" s="276"/>
      <c r="S396" s="276"/>
      <c r="T396" s="276"/>
      <c r="U396" s="276"/>
      <c r="V396" s="276"/>
      <c r="W396" s="276"/>
      <c r="X396" s="276"/>
      <c r="Y396" s="276"/>
      <c r="Z396" s="276"/>
      <c r="AA396" s="276"/>
      <c r="AB396" s="276"/>
      <c r="AC396" s="276"/>
      <c r="AD396" s="276"/>
      <c r="AE396" s="276"/>
      <c r="AF396" s="276"/>
      <c r="AG396" s="276"/>
      <c r="AH396" s="276"/>
      <c r="AI396" s="276"/>
      <c r="AJ396" s="276"/>
      <c r="AK396" s="276"/>
      <c r="AL396" s="276"/>
      <c r="AM396" s="276"/>
      <c r="AN396" s="276"/>
      <c r="AO396" s="276"/>
      <c r="AP396" s="276"/>
      <c r="AQ396" s="276"/>
      <c r="AR396" s="276"/>
      <c r="AS396" s="276"/>
      <c r="AT396" s="276"/>
      <c r="AU396" s="276"/>
      <c r="AV396" s="276"/>
      <c r="AW396" s="276"/>
      <c r="AX396" s="276"/>
      <c r="AY396" s="276"/>
      <c r="AZ396" s="276"/>
      <c r="BA396" s="276"/>
      <c r="BB396" s="276"/>
      <c r="BC396" s="276"/>
      <c r="BD396" s="276"/>
      <c r="BE396" s="276"/>
      <c r="BF396" s="276"/>
      <c r="BG396" s="276"/>
      <c r="BH396" s="276"/>
      <c r="BI396" s="276"/>
      <c r="BJ396" s="276"/>
      <c r="BK396" s="276"/>
      <c r="BL396" s="276"/>
      <c r="BM396" s="276"/>
      <c r="BN396" s="276"/>
      <c r="BO396" s="276"/>
      <c r="BP396" s="276"/>
      <c r="BQ396" s="276"/>
      <c r="BR396" s="276"/>
      <c r="BS396" s="276"/>
      <c r="BT396" s="276"/>
      <c r="BU396" s="276"/>
      <c r="BV396" s="276"/>
      <c r="BW396" s="276"/>
      <c r="BX396" s="276"/>
      <c r="BY396" s="276"/>
      <c r="BZ396" s="276"/>
      <c r="CA396" s="276"/>
      <c r="CB396" s="276"/>
      <c r="CC396" s="276"/>
      <c r="CD396" s="276"/>
      <c r="CE396" s="276"/>
      <c r="CF396" s="276"/>
      <c r="CG396" s="276"/>
      <c r="CH396" s="276"/>
      <c r="CI396" s="276"/>
      <c r="CJ396" s="276"/>
      <c r="CK396" s="276"/>
      <c r="CL396" s="276"/>
      <c r="CM396" s="276"/>
      <c r="CN396" s="276"/>
      <c r="CO396" s="276"/>
      <c r="CP396" s="276"/>
      <c r="CQ396" s="276"/>
      <c r="CR396" s="276"/>
      <c r="CS396" s="276"/>
      <c r="CT396" s="276"/>
      <c r="CU396" s="276"/>
      <c r="CV396" s="276"/>
      <c r="CW396" s="276"/>
      <c r="CX396" s="276"/>
      <c r="CY396" s="276"/>
      <c r="CZ396" s="276"/>
      <c r="DA396" s="276"/>
      <c r="DB396" s="276"/>
      <c r="DC396" s="276"/>
      <c r="DD396" s="276"/>
      <c r="DE396" s="276"/>
      <c r="DF396" s="276"/>
      <c r="DG396" s="276"/>
      <c r="DH396" s="276"/>
      <c r="DI396" s="276"/>
      <c r="DJ396" s="276"/>
      <c r="DK396" s="276"/>
      <c r="DL396" s="276"/>
      <c r="DM396" s="276"/>
      <c r="DN396" s="276"/>
      <c r="DO396" s="276"/>
      <c r="DP396" s="276"/>
      <c r="DQ396" s="276"/>
      <c r="DR396" s="276"/>
      <c r="DS396" s="276"/>
      <c r="DT396" s="276"/>
      <c r="DU396" s="276"/>
      <c r="DV396" s="276"/>
      <c r="DW396" s="276"/>
      <c r="DX396" s="276"/>
      <c r="DY396" s="276"/>
      <c r="DZ396" s="276"/>
      <c r="EA396" s="276"/>
      <c r="EB396" s="276"/>
      <c r="EC396" s="276"/>
      <c r="ED396" s="276"/>
      <c r="EE396" s="276"/>
      <c r="EF396" s="276"/>
      <c r="EG396" s="276"/>
      <c r="EH396" s="276"/>
      <c r="EI396" s="276"/>
      <c r="EJ396" s="276"/>
      <c r="EK396" s="276"/>
      <c r="EL396" s="276"/>
      <c r="EM396" s="276"/>
      <c r="EN396" s="276"/>
      <c r="EO396" s="276"/>
      <c r="EP396" s="276"/>
      <c r="EQ396" s="276"/>
      <c r="ER396" s="276"/>
      <c r="ES396" s="276"/>
      <c r="ET396" s="276"/>
      <c r="EU396" s="276"/>
      <c r="EV396" s="276"/>
      <c r="EW396" s="276"/>
      <c r="EX396" s="276"/>
      <c r="EY396" s="276"/>
      <c r="EZ396" s="276"/>
      <c r="FA396" s="276"/>
      <c r="FB396" s="276"/>
      <c r="FC396" s="276"/>
      <c r="FD396" s="276"/>
      <c r="FE396" s="276"/>
      <c r="FF396" s="276"/>
      <c r="FG396" s="276"/>
      <c r="FH396" s="276"/>
      <c r="FI396" s="276"/>
      <c r="FJ396" s="276"/>
      <c r="FK396" s="276"/>
      <c r="FL396" s="276"/>
      <c r="FM396" s="276"/>
      <c r="FN396" s="276"/>
      <c r="FO396" s="276"/>
      <c r="FP396" s="276"/>
      <c r="FQ396" s="276"/>
      <c r="FR396" s="276"/>
      <c r="FS396" s="276"/>
      <c r="FT396" s="276"/>
      <c r="FU396" s="276"/>
      <c r="FV396" s="276"/>
      <c r="FW396" s="276"/>
      <c r="FX396" s="276"/>
      <c r="FY396" s="276"/>
      <c r="FZ396" s="276"/>
      <c r="GA396" s="276"/>
      <c r="GB396" s="276"/>
      <c r="GC396" s="276"/>
      <c r="GD396" s="276"/>
      <c r="GE396" s="276"/>
      <c r="GF396" s="276"/>
      <c r="GG396" s="276"/>
      <c r="GH396" s="276"/>
      <c r="GI396" s="276"/>
      <c r="GJ396" s="276"/>
      <c r="GK396" s="276"/>
      <c r="GL396" s="276"/>
      <c r="GM396" s="276"/>
      <c r="GN396" s="276"/>
      <c r="GO396" s="276"/>
      <c r="GP396" s="276"/>
      <c r="GQ396" s="276"/>
      <c r="GR396" s="276"/>
      <c r="GS396" s="276"/>
      <c r="GT396" s="276"/>
      <c r="GU396" s="276"/>
      <c r="GV396" s="276"/>
      <c r="GW396" s="276"/>
      <c r="GX396" s="276"/>
      <c r="GY396" s="276"/>
      <c r="GZ396" s="276"/>
      <c r="HA396" s="276"/>
      <c r="HB396" s="276"/>
      <c r="HC396" s="276"/>
      <c r="HD396" s="276"/>
      <c r="HE396" s="276"/>
      <c r="HF396" s="276"/>
      <c r="HG396" s="276"/>
      <c r="HH396" s="276"/>
      <c r="HI396" s="276"/>
      <c r="HJ396" s="276"/>
      <c r="HK396" s="276"/>
      <c r="HL396" s="276"/>
      <c r="HM396" s="276"/>
      <c r="HN396" s="276"/>
      <c r="HO396" s="276"/>
      <c r="HP396" s="276"/>
    </row>
    <row r="397" spans="2:224" s="30" customFormat="1" x14ac:dyDescent="0.5">
      <c r="B397" s="329"/>
      <c r="C397" s="32" t="s">
        <v>136</v>
      </c>
      <c r="D397" s="165"/>
      <c r="E397" s="29"/>
      <c r="F397" s="64"/>
      <c r="G397" s="328"/>
      <c r="H397" s="276"/>
      <c r="I397" s="336"/>
      <c r="J397" s="276"/>
      <c r="K397" s="323"/>
      <c r="L397" s="325"/>
      <c r="M397" s="276"/>
      <c r="N397" s="276"/>
      <c r="O397" s="276"/>
      <c r="P397" s="276"/>
      <c r="Q397" s="276"/>
      <c r="R397" s="276"/>
      <c r="S397" s="276"/>
      <c r="T397" s="276"/>
      <c r="U397" s="276"/>
      <c r="V397" s="276"/>
      <c r="W397" s="276"/>
      <c r="X397" s="276"/>
      <c r="Y397" s="276"/>
      <c r="Z397" s="276"/>
      <c r="AA397" s="276"/>
      <c r="AB397" s="276"/>
      <c r="AC397" s="276"/>
      <c r="AD397" s="276"/>
      <c r="AE397" s="276"/>
      <c r="AF397" s="276"/>
      <c r="AG397" s="276"/>
      <c r="AH397" s="276"/>
      <c r="AI397" s="276"/>
      <c r="AJ397" s="276"/>
      <c r="AK397" s="276"/>
      <c r="AL397" s="276"/>
      <c r="AM397" s="276"/>
      <c r="AN397" s="276"/>
      <c r="AO397" s="276"/>
      <c r="AP397" s="276"/>
      <c r="AQ397" s="276"/>
      <c r="AR397" s="276"/>
      <c r="AS397" s="276"/>
      <c r="AT397" s="276"/>
      <c r="AU397" s="276"/>
      <c r="AV397" s="276"/>
      <c r="AW397" s="276"/>
      <c r="AX397" s="276"/>
      <c r="AY397" s="276"/>
      <c r="AZ397" s="276"/>
      <c r="BA397" s="276"/>
      <c r="BB397" s="276"/>
      <c r="BC397" s="276"/>
      <c r="BD397" s="276"/>
      <c r="BE397" s="276"/>
      <c r="BF397" s="276"/>
      <c r="BG397" s="276"/>
      <c r="BH397" s="276"/>
      <c r="BI397" s="276"/>
      <c r="BJ397" s="276"/>
      <c r="BK397" s="276"/>
      <c r="BL397" s="276"/>
      <c r="BM397" s="276"/>
      <c r="BN397" s="276"/>
      <c r="BO397" s="276"/>
      <c r="BP397" s="276"/>
      <c r="BQ397" s="276"/>
      <c r="BR397" s="276"/>
      <c r="BS397" s="276"/>
      <c r="BT397" s="276"/>
      <c r="BU397" s="276"/>
      <c r="BV397" s="276"/>
      <c r="BW397" s="276"/>
      <c r="BX397" s="276"/>
      <c r="BY397" s="276"/>
      <c r="BZ397" s="276"/>
      <c r="CA397" s="276"/>
      <c r="CB397" s="276"/>
      <c r="CC397" s="276"/>
      <c r="CD397" s="276"/>
      <c r="CE397" s="276"/>
      <c r="CF397" s="276"/>
      <c r="CG397" s="276"/>
      <c r="CH397" s="276"/>
      <c r="CI397" s="276"/>
      <c r="CJ397" s="276"/>
      <c r="CK397" s="276"/>
      <c r="CL397" s="276"/>
      <c r="CM397" s="276"/>
      <c r="CN397" s="276"/>
      <c r="CO397" s="276"/>
      <c r="CP397" s="276"/>
      <c r="CQ397" s="276"/>
      <c r="CR397" s="276"/>
      <c r="CS397" s="276"/>
      <c r="CT397" s="276"/>
      <c r="CU397" s="276"/>
      <c r="CV397" s="276"/>
      <c r="CW397" s="276"/>
      <c r="CX397" s="276"/>
      <c r="CY397" s="276"/>
      <c r="CZ397" s="276"/>
      <c r="DA397" s="276"/>
      <c r="DB397" s="276"/>
      <c r="DC397" s="276"/>
      <c r="DD397" s="276"/>
      <c r="DE397" s="276"/>
      <c r="DF397" s="276"/>
      <c r="DG397" s="276"/>
      <c r="DH397" s="276"/>
      <c r="DI397" s="276"/>
      <c r="DJ397" s="276"/>
      <c r="DK397" s="276"/>
      <c r="DL397" s="276"/>
      <c r="DM397" s="276"/>
      <c r="DN397" s="276"/>
      <c r="DO397" s="276"/>
      <c r="DP397" s="276"/>
      <c r="DQ397" s="276"/>
      <c r="DR397" s="276"/>
      <c r="DS397" s="276"/>
      <c r="DT397" s="276"/>
      <c r="DU397" s="276"/>
      <c r="DV397" s="276"/>
      <c r="DW397" s="276"/>
      <c r="DX397" s="276"/>
      <c r="DY397" s="276"/>
      <c r="DZ397" s="276"/>
      <c r="EA397" s="276"/>
      <c r="EB397" s="276"/>
      <c r="EC397" s="276"/>
      <c r="ED397" s="276"/>
      <c r="EE397" s="276"/>
      <c r="EF397" s="276"/>
      <c r="EG397" s="276"/>
      <c r="EH397" s="276"/>
      <c r="EI397" s="276"/>
      <c r="EJ397" s="276"/>
      <c r="EK397" s="276"/>
      <c r="EL397" s="276"/>
      <c r="EM397" s="276"/>
      <c r="EN397" s="276"/>
      <c r="EO397" s="276"/>
      <c r="EP397" s="276"/>
      <c r="EQ397" s="276"/>
      <c r="ER397" s="276"/>
      <c r="ES397" s="276"/>
      <c r="ET397" s="276"/>
      <c r="EU397" s="276"/>
      <c r="EV397" s="276"/>
      <c r="EW397" s="276"/>
      <c r="EX397" s="276"/>
      <c r="EY397" s="276"/>
      <c r="EZ397" s="276"/>
      <c r="FA397" s="276"/>
      <c r="FB397" s="276"/>
      <c r="FC397" s="276"/>
      <c r="FD397" s="276"/>
      <c r="FE397" s="276"/>
      <c r="FF397" s="276"/>
      <c r="FG397" s="276"/>
      <c r="FH397" s="276"/>
      <c r="FI397" s="276"/>
      <c r="FJ397" s="276"/>
      <c r="FK397" s="276"/>
      <c r="FL397" s="276"/>
      <c r="FM397" s="276"/>
      <c r="FN397" s="276"/>
      <c r="FO397" s="276"/>
      <c r="FP397" s="276"/>
      <c r="FQ397" s="276"/>
      <c r="FR397" s="276"/>
      <c r="FS397" s="276"/>
      <c r="FT397" s="276"/>
      <c r="FU397" s="276"/>
      <c r="FV397" s="276"/>
      <c r="FW397" s="276"/>
      <c r="FX397" s="276"/>
      <c r="FY397" s="276"/>
      <c r="FZ397" s="276"/>
      <c r="GA397" s="276"/>
      <c r="GB397" s="276"/>
      <c r="GC397" s="276"/>
      <c r="GD397" s="276"/>
      <c r="GE397" s="276"/>
      <c r="GF397" s="276"/>
      <c r="GG397" s="276"/>
      <c r="GH397" s="276"/>
      <c r="GI397" s="276"/>
      <c r="GJ397" s="276"/>
      <c r="GK397" s="276"/>
      <c r="GL397" s="276"/>
      <c r="GM397" s="276"/>
      <c r="GN397" s="276"/>
      <c r="GO397" s="276"/>
      <c r="GP397" s="276"/>
      <c r="GQ397" s="276"/>
      <c r="GR397" s="276"/>
      <c r="GS397" s="276"/>
      <c r="GT397" s="276"/>
      <c r="GU397" s="276"/>
      <c r="GV397" s="276"/>
      <c r="GW397" s="276"/>
      <c r="GX397" s="276"/>
      <c r="GY397" s="276"/>
      <c r="GZ397" s="276"/>
      <c r="HA397" s="276"/>
      <c r="HB397" s="276"/>
      <c r="HC397" s="276"/>
      <c r="HD397" s="276"/>
      <c r="HE397" s="276"/>
      <c r="HF397" s="276"/>
      <c r="HG397" s="276"/>
      <c r="HH397" s="276"/>
      <c r="HI397" s="276"/>
      <c r="HJ397" s="276"/>
      <c r="HK397" s="276"/>
      <c r="HL397" s="276"/>
      <c r="HM397" s="276"/>
      <c r="HN397" s="276"/>
      <c r="HO397" s="276"/>
      <c r="HP397" s="276"/>
    </row>
    <row r="398" spans="2:224" s="30" customFormat="1" x14ac:dyDescent="0.5">
      <c r="B398" s="329"/>
      <c r="C398" s="32" t="s">
        <v>323</v>
      </c>
      <c r="D398" s="165"/>
      <c r="E398" s="29"/>
      <c r="F398" s="64"/>
      <c r="G398" s="328"/>
      <c r="H398" s="276"/>
      <c r="I398" s="336"/>
      <c r="J398" s="276"/>
      <c r="K398" s="323"/>
      <c r="L398" s="325"/>
      <c r="M398" s="276"/>
      <c r="N398" s="276"/>
      <c r="O398" s="276"/>
      <c r="P398" s="276"/>
      <c r="Q398" s="276"/>
      <c r="R398" s="276"/>
      <c r="S398" s="276"/>
      <c r="T398" s="276"/>
      <c r="U398" s="276"/>
      <c r="V398" s="276"/>
      <c r="W398" s="276"/>
      <c r="X398" s="276"/>
      <c r="Y398" s="276"/>
      <c r="Z398" s="276"/>
      <c r="AA398" s="276"/>
      <c r="AB398" s="276"/>
      <c r="AC398" s="276"/>
      <c r="AD398" s="276"/>
      <c r="AE398" s="276"/>
      <c r="AF398" s="276"/>
      <c r="AG398" s="276"/>
      <c r="AH398" s="276"/>
      <c r="AI398" s="276"/>
      <c r="AJ398" s="276"/>
      <c r="AK398" s="276"/>
      <c r="AL398" s="276"/>
      <c r="AM398" s="276"/>
      <c r="AN398" s="276"/>
      <c r="AO398" s="276"/>
      <c r="AP398" s="276"/>
      <c r="AQ398" s="276"/>
      <c r="AR398" s="276"/>
      <c r="AS398" s="276"/>
      <c r="AT398" s="276"/>
      <c r="AU398" s="276"/>
      <c r="AV398" s="276"/>
      <c r="AW398" s="276"/>
      <c r="AX398" s="276"/>
      <c r="AY398" s="276"/>
      <c r="AZ398" s="276"/>
      <c r="BA398" s="276"/>
      <c r="BB398" s="276"/>
      <c r="BC398" s="276"/>
      <c r="BD398" s="276"/>
      <c r="BE398" s="276"/>
      <c r="BF398" s="276"/>
      <c r="BG398" s="276"/>
      <c r="BH398" s="276"/>
      <c r="BI398" s="276"/>
      <c r="BJ398" s="276"/>
      <c r="BK398" s="276"/>
      <c r="BL398" s="276"/>
      <c r="BM398" s="276"/>
      <c r="BN398" s="276"/>
      <c r="BO398" s="276"/>
      <c r="BP398" s="276"/>
      <c r="BQ398" s="276"/>
      <c r="BR398" s="276"/>
      <c r="BS398" s="276"/>
      <c r="BT398" s="276"/>
      <c r="BU398" s="276"/>
      <c r="BV398" s="276"/>
      <c r="BW398" s="276"/>
      <c r="BX398" s="276"/>
      <c r="BY398" s="276"/>
      <c r="BZ398" s="276"/>
      <c r="CA398" s="276"/>
      <c r="CB398" s="276"/>
      <c r="CC398" s="276"/>
      <c r="CD398" s="276"/>
      <c r="CE398" s="276"/>
      <c r="CF398" s="276"/>
      <c r="CG398" s="276"/>
      <c r="CH398" s="276"/>
      <c r="CI398" s="276"/>
      <c r="CJ398" s="276"/>
      <c r="CK398" s="276"/>
      <c r="CL398" s="276"/>
      <c r="CM398" s="276"/>
      <c r="CN398" s="276"/>
      <c r="CO398" s="276"/>
      <c r="CP398" s="276"/>
      <c r="CQ398" s="276"/>
      <c r="CR398" s="276"/>
      <c r="CS398" s="276"/>
      <c r="CT398" s="276"/>
      <c r="CU398" s="276"/>
      <c r="CV398" s="276"/>
      <c r="CW398" s="276"/>
      <c r="CX398" s="276"/>
      <c r="CY398" s="276"/>
      <c r="CZ398" s="276"/>
      <c r="DA398" s="276"/>
      <c r="DB398" s="276"/>
      <c r="DC398" s="276"/>
      <c r="DD398" s="276"/>
      <c r="DE398" s="276"/>
      <c r="DF398" s="276"/>
      <c r="DG398" s="276"/>
      <c r="DH398" s="276"/>
      <c r="DI398" s="276"/>
      <c r="DJ398" s="276"/>
      <c r="DK398" s="276"/>
      <c r="DL398" s="276"/>
      <c r="DM398" s="276"/>
      <c r="DN398" s="276"/>
      <c r="DO398" s="276"/>
      <c r="DP398" s="276"/>
      <c r="DQ398" s="276"/>
      <c r="DR398" s="276"/>
      <c r="DS398" s="276"/>
      <c r="DT398" s="276"/>
      <c r="DU398" s="276"/>
      <c r="DV398" s="276"/>
      <c r="DW398" s="276"/>
      <c r="DX398" s="276"/>
      <c r="DY398" s="276"/>
      <c r="DZ398" s="276"/>
      <c r="EA398" s="276"/>
      <c r="EB398" s="276"/>
      <c r="EC398" s="276"/>
      <c r="ED398" s="276"/>
      <c r="EE398" s="276"/>
      <c r="EF398" s="276"/>
      <c r="EG398" s="276"/>
      <c r="EH398" s="276"/>
      <c r="EI398" s="276"/>
      <c r="EJ398" s="276"/>
      <c r="EK398" s="276"/>
      <c r="EL398" s="276"/>
      <c r="EM398" s="276"/>
      <c r="EN398" s="276"/>
      <c r="EO398" s="276"/>
      <c r="EP398" s="276"/>
      <c r="EQ398" s="276"/>
      <c r="ER398" s="276"/>
      <c r="ES398" s="276"/>
      <c r="ET398" s="276"/>
      <c r="EU398" s="276"/>
      <c r="EV398" s="276"/>
      <c r="EW398" s="276"/>
      <c r="EX398" s="276"/>
      <c r="EY398" s="276"/>
      <c r="EZ398" s="276"/>
      <c r="FA398" s="276"/>
      <c r="FB398" s="276"/>
      <c r="FC398" s="276"/>
      <c r="FD398" s="276"/>
      <c r="FE398" s="276"/>
      <c r="FF398" s="276"/>
      <c r="FG398" s="276"/>
      <c r="FH398" s="276"/>
      <c r="FI398" s="276"/>
      <c r="FJ398" s="276"/>
      <c r="FK398" s="276"/>
      <c r="FL398" s="276"/>
      <c r="FM398" s="276"/>
      <c r="FN398" s="276"/>
      <c r="FO398" s="276"/>
      <c r="FP398" s="276"/>
      <c r="FQ398" s="276"/>
      <c r="FR398" s="276"/>
      <c r="FS398" s="276"/>
      <c r="FT398" s="276"/>
      <c r="FU398" s="276"/>
      <c r="FV398" s="276"/>
      <c r="FW398" s="276"/>
      <c r="FX398" s="276"/>
      <c r="FY398" s="276"/>
      <c r="FZ398" s="276"/>
      <c r="GA398" s="276"/>
      <c r="GB398" s="276"/>
      <c r="GC398" s="276"/>
      <c r="GD398" s="276"/>
      <c r="GE398" s="276"/>
      <c r="GF398" s="276"/>
      <c r="GG398" s="276"/>
      <c r="GH398" s="276"/>
      <c r="GI398" s="276"/>
      <c r="GJ398" s="276"/>
      <c r="GK398" s="276"/>
      <c r="GL398" s="276"/>
      <c r="GM398" s="276"/>
      <c r="GN398" s="276"/>
      <c r="GO398" s="276"/>
      <c r="GP398" s="276"/>
      <c r="GQ398" s="276"/>
      <c r="GR398" s="276"/>
      <c r="GS398" s="276"/>
      <c r="GT398" s="276"/>
      <c r="GU398" s="276"/>
      <c r="GV398" s="276"/>
      <c r="GW398" s="276"/>
      <c r="GX398" s="276"/>
      <c r="GY398" s="276"/>
      <c r="GZ398" s="276"/>
      <c r="HA398" s="276"/>
      <c r="HB398" s="276"/>
      <c r="HC398" s="276"/>
      <c r="HD398" s="276"/>
      <c r="HE398" s="276"/>
      <c r="HF398" s="276"/>
      <c r="HG398" s="276"/>
      <c r="HH398" s="276"/>
      <c r="HI398" s="276"/>
      <c r="HJ398" s="276"/>
      <c r="HK398" s="276"/>
      <c r="HL398" s="276"/>
      <c r="HM398" s="276"/>
      <c r="HN398" s="276"/>
      <c r="HO398" s="276"/>
      <c r="HP398" s="276"/>
    </row>
    <row r="399" spans="2:224" s="30" customFormat="1" x14ac:dyDescent="0.5">
      <c r="B399" s="329"/>
      <c r="C399" s="32" t="s">
        <v>324</v>
      </c>
      <c r="D399" s="165"/>
      <c r="E399" s="29"/>
      <c r="F399" s="64"/>
      <c r="G399" s="328"/>
      <c r="H399" s="276"/>
      <c r="I399" s="336"/>
      <c r="J399" s="276"/>
      <c r="K399" s="323"/>
      <c r="L399" s="325"/>
      <c r="M399" s="276"/>
      <c r="N399" s="276"/>
      <c r="O399" s="276"/>
      <c r="P399" s="276"/>
      <c r="Q399" s="276"/>
      <c r="R399" s="276"/>
      <c r="S399" s="276"/>
      <c r="T399" s="276"/>
      <c r="U399" s="276"/>
      <c r="V399" s="276"/>
      <c r="W399" s="276"/>
      <c r="X399" s="276"/>
      <c r="Y399" s="276"/>
      <c r="Z399" s="276"/>
      <c r="AA399" s="276"/>
      <c r="AB399" s="276"/>
      <c r="AC399" s="276"/>
      <c r="AD399" s="276"/>
      <c r="AE399" s="276"/>
      <c r="AF399" s="276"/>
      <c r="AG399" s="276"/>
      <c r="AH399" s="276"/>
      <c r="AI399" s="276"/>
      <c r="AJ399" s="276"/>
      <c r="AK399" s="276"/>
      <c r="AL399" s="276"/>
      <c r="AM399" s="276"/>
      <c r="AN399" s="276"/>
      <c r="AO399" s="276"/>
      <c r="AP399" s="276"/>
      <c r="AQ399" s="276"/>
      <c r="AR399" s="276"/>
      <c r="AS399" s="276"/>
      <c r="AT399" s="276"/>
      <c r="AU399" s="276"/>
      <c r="AV399" s="276"/>
      <c r="AW399" s="276"/>
      <c r="AX399" s="276"/>
      <c r="AY399" s="276"/>
      <c r="AZ399" s="276"/>
      <c r="BA399" s="276"/>
      <c r="BB399" s="276"/>
      <c r="BC399" s="276"/>
      <c r="BD399" s="276"/>
      <c r="BE399" s="276"/>
      <c r="BF399" s="276"/>
      <c r="BG399" s="276"/>
      <c r="BH399" s="276"/>
      <c r="BI399" s="276"/>
      <c r="BJ399" s="276"/>
      <c r="BK399" s="276"/>
      <c r="BL399" s="276"/>
      <c r="BM399" s="276"/>
      <c r="BN399" s="276"/>
      <c r="BO399" s="276"/>
      <c r="BP399" s="276"/>
      <c r="BQ399" s="276"/>
      <c r="BR399" s="276"/>
      <c r="BS399" s="276"/>
      <c r="BT399" s="276"/>
      <c r="BU399" s="276"/>
      <c r="BV399" s="276"/>
      <c r="BW399" s="276"/>
      <c r="BX399" s="276"/>
      <c r="BY399" s="276"/>
      <c r="BZ399" s="276"/>
      <c r="CA399" s="276"/>
      <c r="CB399" s="276"/>
      <c r="CC399" s="276"/>
      <c r="CD399" s="276"/>
      <c r="CE399" s="276"/>
      <c r="CF399" s="276"/>
      <c r="CG399" s="276"/>
      <c r="CH399" s="276"/>
      <c r="CI399" s="276"/>
      <c r="CJ399" s="276"/>
      <c r="CK399" s="276"/>
      <c r="CL399" s="276"/>
      <c r="CM399" s="276"/>
      <c r="CN399" s="276"/>
      <c r="CO399" s="276"/>
      <c r="CP399" s="276"/>
      <c r="CQ399" s="276"/>
      <c r="CR399" s="276"/>
      <c r="CS399" s="276"/>
      <c r="CT399" s="276"/>
      <c r="CU399" s="276"/>
      <c r="CV399" s="276"/>
      <c r="CW399" s="276"/>
      <c r="CX399" s="276"/>
      <c r="CY399" s="276"/>
      <c r="CZ399" s="276"/>
      <c r="DA399" s="276"/>
      <c r="DB399" s="276"/>
      <c r="DC399" s="276"/>
      <c r="DD399" s="276"/>
      <c r="DE399" s="276"/>
      <c r="DF399" s="276"/>
      <c r="DG399" s="276"/>
      <c r="DH399" s="276"/>
      <c r="DI399" s="276"/>
      <c r="DJ399" s="276"/>
      <c r="DK399" s="276"/>
      <c r="DL399" s="276"/>
      <c r="DM399" s="276"/>
      <c r="DN399" s="276"/>
      <c r="DO399" s="276"/>
      <c r="DP399" s="276"/>
      <c r="DQ399" s="276"/>
      <c r="DR399" s="276"/>
      <c r="DS399" s="276"/>
      <c r="DT399" s="276"/>
      <c r="DU399" s="276"/>
      <c r="DV399" s="276"/>
      <c r="DW399" s="276"/>
      <c r="DX399" s="276"/>
      <c r="DY399" s="276"/>
      <c r="DZ399" s="276"/>
      <c r="EA399" s="276"/>
      <c r="EB399" s="276"/>
      <c r="EC399" s="276"/>
      <c r="ED399" s="276"/>
      <c r="EE399" s="276"/>
      <c r="EF399" s="276"/>
      <c r="EG399" s="276"/>
      <c r="EH399" s="276"/>
      <c r="EI399" s="276"/>
      <c r="EJ399" s="276"/>
      <c r="EK399" s="276"/>
      <c r="EL399" s="276"/>
      <c r="EM399" s="276"/>
      <c r="EN399" s="276"/>
      <c r="EO399" s="276"/>
      <c r="EP399" s="276"/>
      <c r="EQ399" s="276"/>
      <c r="ER399" s="276"/>
      <c r="ES399" s="276"/>
      <c r="ET399" s="276"/>
      <c r="EU399" s="276"/>
      <c r="EV399" s="276"/>
      <c r="EW399" s="276"/>
      <c r="EX399" s="276"/>
      <c r="EY399" s="276"/>
      <c r="EZ399" s="276"/>
      <c r="FA399" s="276"/>
      <c r="FB399" s="276"/>
      <c r="FC399" s="276"/>
      <c r="FD399" s="276"/>
      <c r="FE399" s="276"/>
      <c r="FF399" s="276"/>
      <c r="FG399" s="276"/>
      <c r="FH399" s="276"/>
      <c r="FI399" s="276"/>
      <c r="FJ399" s="276"/>
      <c r="FK399" s="276"/>
      <c r="FL399" s="276"/>
      <c r="FM399" s="276"/>
      <c r="FN399" s="276"/>
      <c r="FO399" s="276"/>
      <c r="FP399" s="276"/>
      <c r="FQ399" s="276"/>
      <c r="FR399" s="276"/>
      <c r="FS399" s="276"/>
      <c r="FT399" s="276"/>
      <c r="FU399" s="276"/>
      <c r="FV399" s="276"/>
      <c r="FW399" s="276"/>
      <c r="FX399" s="276"/>
      <c r="FY399" s="276"/>
      <c r="FZ399" s="276"/>
      <c r="GA399" s="276"/>
      <c r="GB399" s="276"/>
      <c r="GC399" s="276"/>
      <c r="GD399" s="276"/>
      <c r="GE399" s="276"/>
      <c r="GF399" s="276"/>
      <c r="GG399" s="276"/>
      <c r="GH399" s="276"/>
      <c r="GI399" s="276"/>
      <c r="GJ399" s="276"/>
      <c r="GK399" s="276"/>
      <c r="GL399" s="276"/>
      <c r="GM399" s="276"/>
      <c r="GN399" s="276"/>
      <c r="GO399" s="276"/>
      <c r="GP399" s="276"/>
      <c r="GQ399" s="276"/>
      <c r="GR399" s="276"/>
      <c r="GS399" s="276"/>
      <c r="GT399" s="276"/>
      <c r="GU399" s="276"/>
      <c r="GV399" s="276"/>
      <c r="GW399" s="276"/>
      <c r="GX399" s="276"/>
      <c r="GY399" s="276"/>
      <c r="GZ399" s="276"/>
      <c r="HA399" s="276"/>
      <c r="HB399" s="276"/>
      <c r="HC399" s="276"/>
      <c r="HD399" s="276"/>
      <c r="HE399" s="276"/>
      <c r="HF399" s="276"/>
      <c r="HG399" s="276"/>
      <c r="HH399" s="276"/>
      <c r="HI399" s="276"/>
      <c r="HJ399" s="276"/>
      <c r="HK399" s="276"/>
      <c r="HL399" s="276"/>
      <c r="HM399" s="276"/>
      <c r="HN399" s="276"/>
      <c r="HO399" s="276"/>
      <c r="HP399" s="276"/>
    </row>
    <row r="400" spans="2:224" s="30" customFormat="1" x14ac:dyDescent="0.5">
      <c r="B400" s="329"/>
      <c r="C400" s="32" t="s">
        <v>325</v>
      </c>
      <c r="D400" s="165"/>
      <c r="E400" s="29"/>
      <c r="F400" s="64"/>
      <c r="G400" s="328"/>
      <c r="H400" s="276"/>
      <c r="I400" s="336"/>
      <c r="J400" s="276"/>
      <c r="K400" s="323"/>
      <c r="L400" s="325"/>
      <c r="M400" s="276"/>
      <c r="N400" s="276"/>
      <c r="O400" s="276"/>
      <c r="P400" s="276"/>
      <c r="Q400" s="276"/>
      <c r="R400" s="276"/>
      <c r="S400" s="276"/>
      <c r="T400" s="276"/>
      <c r="U400" s="276"/>
      <c r="V400" s="276"/>
      <c r="W400" s="276"/>
      <c r="X400" s="276"/>
      <c r="Y400" s="276"/>
      <c r="Z400" s="276"/>
      <c r="AA400" s="276"/>
      <c r="AB400" s="276"/>
      <c r="AC400" s="276"/>
      <c r="AD400" s="276"/>
      <c r="AE400" s="276"/>
      <c r="AF400" s="276"/>
      <c r="AG400" s="276"/>
      <c r="AH400" s="276"/>
      <c r="AI400" s="276"/>
      <c r="AJ400" s="276"/>
      <c r="AK400" s="276"/>
      <c r="AL400" s="276"/>
      <c r="AM400" s="276"/>
      <c r="AN400" s="276"/>
      <c r="AO400" s="276"/>
      <c r="AP400" s="276"/>
      <c r="AQ400" s="276"/>
      <c r="AR400" s="276"/>
      <c r="AS400" s="276"/>
      <c r="AT400" s="276"/>
      <c r="AU400" s="276"/>
      <c r="AV400" s="276"/>
      <c r="AW400" s="276"/>
      <c r="AX400" s="276"/>
      <c r="AY400" s="276"/>
      <c r="AZ400" s="276"/>
      <c r="BA400" s="276"/>
      <c r="BB400" s="276"/>
      <c r="BC400" s="276"/>
      <c r="BD400" s="276"/>
      <c r="BE400" s="276"/>
      <c r="BF400" s="276"/>
      <c r="BG400" s="276"/>
      <c r="BH400" s="276"/>
      <c r="BI400" s="276"/>
      <c r="BJ400" s="276"/>
      <c r="BK400" s="276"/>
      <c r="BL400" s="276"/>
      <c r="BM400" s="276"/>
      <c r="BN400" s="276"/>
      <c r="BO400" s="276"/>
      <c r="BP400" s="276"/>
      <c r="BQ400" s="276"/>
      <c r="BR400" s="276"/>
      <c r="BS400" s="276"/>
      <c r="BT400" s="276"/>
      <c r="BU400" s="276"/>
      <c r="BV400" s="276"/>
      <c r="BW400" s="276"/>
      <c r="BX400" s="276"/>
      <c r="BY400" s="276"/>
      <c r="BZ400" s="276"/>
      <c r="CA400" s="276"/>
      <c r="CB400" s="276"/>
      <c r="CC400" s="276"/>
      <c r="CD400" s="276"/>
      <c r="CE400" s="276"/>
      <c r="CF400" s="276"/>
      <c r="CG400" s="276"/>
      <c r="CH400" s="276"/>
      <c r="CI400" s="276"/>
      <c r="CJ400" s="276"/>
      <c r="CK400" s="276"/>
      <c r="CL400" s="276"/>
      <c r="CM400" s="276"/>
      <c r="CN400" s="276"/>
      <c r="CO400" s="276"/>
      <c r="CP400" s="276"/>
      <c r="CQ400" s="276"/>
      <c r="CR400" s="276"/>
      <c r="CS400" s="276"/>
      <c r="CT400" s="276"/>
      <c r="CU400" s="276"/>
      <c r="CV400" s="276"/>
      <c r="CW400" s="276"/>
      <c r="CX400" s="276"/>
      <c r="CY400" s="276"/>
      <c r="CZ400" s="276"/>
      <c r="DA400" s="276"/>
      <c r="DB400" s="276"/>
      <c r="DC400" s="276"/>
      <c r="DD400" s="276"/>
      <c r="DE400" s="276"/>
      <c r="DF400" s="276"/>
      <c r="DG400" s="276"/>
      <c r="DH400" s="276"/>
      <c r="DI400" s="276"/>
      <c r="DJ400" s="276"/>
      <c r="DK400" s="276"/>
      <c r="DL400" s="276"/>
      <c r="DM400" s="276"/>
      <c r="DN400" s="276"/>
      <c r="DO400" s="276"/>
      <c r="DP400" s="276"/>
      <c r="DQ400" s="276"/>
      <c r="DR400" s="276"/>
      <c r="DS400" s="276"/>
      <c r="DT400" s="276"/>
      <c r="DU400" s="276"/>
      <c r="DV400" s="276"/>
      <c r="DW400" s="276"/>
      <c r="DX400" s="276"/>
      <c r="DY400" s="276"/>
      <c r="DZ400" s="276"/>
      <c r="EA400" s="276"/>
      <c r="EB400" s="276"/>
      <c r="EC400" s="276"/>
      <c r="ED400" s="276"/>
      <c r="EE400" s="276"/>
      <c r="EF400" s="276"/>
      <c r="EG400" s="276"/>
      <c r="EH400" s="276"/>
      <c r="EI400" s="276"/>
      <c r="EJ400" s="276"/>
      <c r="EK400" s="276"/>
      <c r="EL400" s="276"/>
      <c r="EM400" s="276"/>
      <c r="EN400" s="276"/>
      <c r="EO400" s="276"/>
      <c r="EP400" s="276"/>
      <c r="EQ400" s="276"/>
      <c r="ER400" s="276"/>
      <c r="ES400" s="276"/>
      <c r="ET400" s="276"/>
      <c r="EU400" s="276"/>
      <c r="EV400" s="276"/>
      <c r="EW400" s="276"/>
      <c r="EX400" s="276"/>
      <c r="EY400" s="276"/>
      <c r="EZ400" s="276"/>
      <c r="FA400" s="276"/>
      <c r="FB400" s="276"/>
      <c r="FC400" s="276"/>
      <c r="FD400" s="276"/>
      <c r="FE400" s="276"/>
      <c r="FF400" s="276"/>
      <c r="FG400" s="276"/>
      <c r="FH400" s="276"/>
      <c r="FI400" s="276"/>
      <c r="FJ400" s="276"/>
      <c r="FK400" s="276"/>
      <c r="FL400" s="276"/>
      <c r="FM400" s="276"/>
      <c r="FN400" s="276"/>
      <c r="FO400" s="276"/>
      <c r="FP400" s="276"/>
      <c r="FQ400" s="276"/>
      <c r="FR400" s="276"/>
      <c r="FS400" s="276"/>
      <c r="FT400" s="276"/>
      <c r="FU400" s="276"/>
      <c r="FV400" s="276"/>
      <c r="FW400" s="276"/>
      <c r="FX400" s="276"/>
      <c r="FY400" s="276"/>
      <c r="FZ400" s="276"/>
      <c r="GA400" s="276"/>
      <c r="GB400" s="276"/>
      <c r="GC400" s="276"/>
      <c r="GD400" s="276"/>
      <c r="GE400" s="276"/>
      <c r="GF400" s="276"/>
      <c r="GG400" s="276"/>
      <c r="GH400" s="276"/>
      <c r="GI400" s="276"/>
      <c r="GJ400" s="276"/>
      <c r="GK400" s="276"/>
      <c r="GL400" s="276"/>
      <c r="GM400" s="276"/>
      <c r="GN400" s="276"/>
      <c r="GO400" s="276"/>
      <c r="GP400" s="276"/>
      <c r="GQ400" s="276"/>
      <c r="GR400" s="276"/>
      <c r="GS400" s="276"/>
      <c r="GT400" s="276"/>
      <c r="GU400" s="276"/>
      <c r="GV400" s="276"/>
      <c r="GW400" s="276"/>
      <c r="GX400" s="276"/>
      <c r="GY400" s="276"/>
      <c r="GZ400" s="276"/>
      <c r="HA400" s="276"/>
      <c r="HB400" s="276"/>
      <c r="HC400" s="276"/>
      <c r="HD400" s="276"/>
      <c r="HE400" s="276"/>
      <c r="HF400" s="276"/>
      <c r="HG400" s="276"/>
      <c r="HH400" s="276"/>
      <c r="HI400" s="276"/>
      <c r="HJ400" s="276"/>
      <c r="HK400" s="276"/>
      <c r="HL400" s="276"/>
      <c r="HM400" s="276"/>
      <c r="HN400" s="276"/>
      <c r="HO400" s="276"/>
      <c r="HP400" s="276"/>
    </row>
    <row r="401" spans="2:224" s="30" customFormat="1" x14ac:dyDescent="0.5">
      <c r="B401" s="329"/>
      <c r="C401" s="32"/>
      <c r="D401" s="165"/>
      <c r="E401" s="29"/>
      <c r="F401" s="64"/>
      <c r="G401" s="328"/>
      <c r="H401" s="276"/>
      <c r="I401" s="336"/>
      <c r="J401" s="276"/>
      <c r="K401" s="323"/>
      <c r="L401" s="325"/>
      <c r="M401" s="276"/>
      <c r="N401" s="276"/>
      <c r="O401" s="276"/>
      <c r="P401" s="276"/>
      <c r="Q401" s="276"/>
      <c r="R401" s="276"/>
      <c r="S401" s="276"/>
      <c r="T401" s="276"/>
      <c r="U401" s="276"/>
      <c r="V401" s="276"/>
      <c r="W401" s="276"/>
      <c r="X401" s="276"/>
      <c r="Y401" s="276"/>
      <c r="Z401" s="276"/>
      <c r="AA401" s="276"/>
      <c r="AB401" s="276"/>
      <c r="AC401" s="276"/>
      <c r="AD401" s="276"/>
      <c r="AE401" s="276"/>
      <c r="AF401" s="276"/>
      <c r="AG401" s="276"/>
      <c r="AH401" s="276"/>
      <c r="AI401" s="276"/>
      <c r="AJ401" s="276"/>
      <c r="AK401" s="276"/>
      <c r="AL401" s="276"/>
      <c r="AM401" s="276"/>
      <c r="AN401" s="276"/>
      <c r="AO401" s="276"/>
      <c r="AP401" s="276"/>
      <c r="AQ401" s="276"/>
      <c r="AR401" s="276"/>
      <c r="AS401" s="276"/>
      <c r="AT401" s="276"/>
      <c r="AU401" s="276"/>
      <c r="AV401" s="276"/>
      <c r="AW401" s="276"/>
      <c r="AX401" s="276"/>
      <c r="AY401" s="276"/>
      <c r="AZ401" s="276"/>
      <c r="BA401" s="276"/>
      <c r="BB401" s="276"/>
      <c r="BC401" s="276"/>
      <c r="BD401" s="276"/>
      <c r="BE401" s="276"/>
      <c r="BF401" s="276"/>
      <c r="BG401" s="276"/>
      <c r="BH401" s="276"/>
      <c r="BI401" s="276"/>
      <c r="BJ401" s="276"/>
      <c r="BK401" s="276"/>
      <c r="BL401" s="276"/>
      <c r="BM401" s="276"/>
      <c r="BN401" s="276"/>
      <c r="BO401" s="276"/>
      <c r="BP401" s="276"/>
      <c r="BQ401" s="276"/>
      <c r="BR401" s="276"/>
      <c r="BS401" s="276"/>
      <c r="BT401" s="276"/>
      <c r="BU401" s="276"/>
      <c r="BV401" s="276"/>
      <c r="BW401" s="276"/>
      <c r="BX401" s="276"/>
      <c r="BY401" s="276"/>
      <c r="BZ401" s="276"/>
      <c r="CA401" s="276"/>
      <c r="CB401" s="276"/>
      <c r="CC401" s="276"/>
      <c r="CD401" s="276"/>
      <c r="CE401" s="276"/>
      <c r="CF401" s="276"/>
      <c r="CG401" s="276"/>
      <c r="CH401" s="276"/>
      <c r="CI401" s="276"/>
      <c r="CJ401" s="276"/>
      <c r="CK401" s="276"/>
      <c r="CL401" s="276"/>
      <c r="CM401" s="276"/>
      <c r="CN401" s="276"/>
      <c r="CO401" s="276"/>
      <c r="CP401" s="276"/>
      <c r="CQ401" s="276"/>
      <c r="CR401" s="276"/>
      <c r="CS401" s="276"/>
      <c r="CT401" s="276"/>
      <c r="CU401" s="276"/>
      <c r="CV401" s="276"/>
      <c r="CW401" s="276"/>
      <c r="CX401" s="276"/>
      <c r="CY401" s="276"/>
      <c r="CZ401" s="276"/>
      <c r="DA401" s="276"/>
      <c r="DB401" s="276"/>
      <c r="DC401" s="276"/>
      <c r="DD401" s="276"/>
      <c r="DE401" s="276"/>
      <c r="DF401" s="276"/>
      <c r="DG401" s="276"/>
      <c r="DH401" s="276"/>
      <c r="DI401" s="276"/>
      <c r="DJ401" s="276"/>
      <c r="DK401" s="276"/>
      <c r="DL401" s="276"/>
      <c r="DM401" s="276"/>
      <c r="DN401" s="276"/>
      <c r="DO401" s="276"/>
      <c r="DP401" s="276"/>
      <c r="DQ401" s="276"/>
      <c r="DR401" s="276"/>
      <c r="DS401" s="276"/>
      <c r="DT401" s="276"/>
      <c r="DU401" s="276"/>
      <c r="DV401" s="276"/>
      <c r="DW401" s="276"/>
      <c r="DX401" s="276"/>
      <c r="DY401" s="276"/>
      <c r="DZ401" s="276"/>
      <c r="EA401" s="276"/>
      <c r="EB401" s="276"/>
      <c r="EC401" s="276"/>
      <c r="ED401" s="276"/>
      <c r="EE401" s="276"/>
      <c r="EF401" s="276"/>
      <c r="EG401" s="276"/>
      <c r="EH401" s="276"/>
      <c r="EI401" s="276"/>
      <c r="EJ401" s="276"/>
      <c r="EK401" s="276"/>
      <c r="EL401" s="276"/>
      <c r="EM401" s="276"/>
      <c r="EN401" s="276"/>
      <c r="EO401" s="276"/>
      <c r="EP401" s="276"/>
      <c r="EQ401" s="276"/>
      <c r="ER401" s="276"/>
      <c r="ES401" s="276"/>
      <c r="ET401" s="276"/>
      <c r="EU401" s="276"/>
      <c r="EV401" s="276"/>
      <c r="EW401" s="276"/>
      <c r="EX401" s="276"/>
      <c r="EY401" s="276"/>
      <c r="EZ401" s="276"/>
      <c r="FA401" s="276"/>
      <c r="FB401" s="276"/>
      <c r="FC401" s="276"/>
      <c r="FD401" s="276"/>
      <c r="FE401" s="276"/>
      <c r="FF401" s="276"/>
      <c r="FG401" s="276"/>
      <c r="FH401" s="276"/>
      <c r="FI401" s="276"/>
      <c r="FJ401" s="276"/>
      <c r="FK401" s="276"/>
      <c r="FL401" s="276"/>
      <c r="FM401" s="276"/>
      <c r="FN401" s="276"/>
      <c r="FO401" s="276"/>
      <c r="FP401" s="276"/>
      <c r="FQ401" s="276"/>
      <c r="FR401" s="276"/>
      <c r="FS401" s="276"/>
      <c r="FT401" s="276"/>
      <c r="FU401" s="276"/>
      <c r="FV401" s="276"/>
      <c r="FW401" s="276"/>
      <c r="FX401" s="276"/>
      <c r="FY401" s="276"/>
      <c r="FZ401" s="276"/>
      <c r="GA401" s="276"/>
      <c r="GB401" s="276"/>
      <c r="GC401" s="276"/>
      <c r="GD401" s="276"/>
      <c r="GE401" s="276"/>
      <c r="GF401" s="276"/>
      <c r="GG401" s="276"/>
      <c r="GH401" s="276"/>
      <c r="GI401" s="276"/>
      <c r="GJ401" s="276"/>
      <c r="GK401" s="276"/>
      <c r="GL401" s="276"/>
      <c r="GM401" s="276"/>
      <c r="GN401" s="276"/>
      <c r="GO401" s="276"/>
      <c r="GP401" s="276"/>
      <c r="GQ401" s="276"/>
      <c r="GR401" s="276"/>
      <c r="GS401" s="276"/>
      <c r="GT401" s="276"/>
      <c r="GU401" s="276"/>
      <c r="GV401" s="276"/>
      <c r="GW401" s="276"/>
      <c r="GX401" s="276"/>
      <c r="GY401" s="276"/>
      <c r="GZ401" s="276"/>
      <c r="HA401" s="276"/>
      <c r="HB401" s="276"/>
      <c r="HC401" s="276"/>
      <c r="HD401" s="276"/>
      <c r="HE401" s="276"/>
      <c r="HF401" s="276"/>
      <c r="HG401" s="276"/>
      <c r="HH401" s="276"/>
      <c r="HI401" s="276"/>
      <c r="HJ401" s="276"/>
      <c r="HK401" s="276"/>
      <c r="HL401" s="276"/>
      <c r="HM401" s="276"/>
      <c r="HN401" s="276"/>
      <c r="HO401" s="276"/>
      <c r="HP401" s="276"/>
    </row>
    <row r="402" spans="2:224" ht="15.4" x14ac:dyDescent="0.45">
      <c r="B402" s="329"/>
      <c r="C402" s="32"/>
      <c r="D402" s="165"/>
      <c r="G402" s="328"/>
      <c r="H402" s="32"/>
      <c r="I402" s="334"/>
      <c r="J402" s="32"/>
      <c r="L402" s="165"/>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c r="CK402" s="32"/>
      <c r="CL402" s="32"/>
      <c r="CM402" s="32"/>
      <c r="CN402" s="32"/>
      <c r="CO402" s="32"/>
      <c r="CP402" s="32"/>
      <c r="CQ402" s="32"/>
      <c r="CR402" s="32"/>
      <c r="CS402" s="32"/>
      <c r="CT402" s="32"/>
      <c r="CU402" s="32"/>
      <c r="CV402" s="32"/>
      <c r="CW402" s="32"/>
      <c r="CX402" s="32"/>
      <c r="CY402" s="32"/>
      <c r="CZ402" s="32"/>
      <c r="DA402" s="32"/>
      <c r="DB402" s="32"/>
      <c r="DC402" s="32"/>
      <c r="DD402" s="32"/>
      <c r="DE402" s="32"/>
      <c r="DF402" s="32"/>
      <c r="DG402" s="32"/>
      <c r="DH402" s="32"/>
      <c r="DI402" s="32"/>
      <c r="DJ402" s="32"/>
      <c r="DK402" s="32"/>
      <c r="DL402" s="32"/>
      <c r="DM402" s="32"/>
      <c r="DN402" s="32"/>
      <c r="DO402" s="32"/>
      <c r="DP402" s="32"/>
      <c r="DQ402" s="32"/>
      <c r="DR402" s="32"/>
      <c r="DS402" s="32"/>
      <c r="DT402" s="32"/>
      <c r="DU402" s="32"/>
      <c r="DV402" s="32"/>
      <c r="DW402" s="32"/>
      <c r="DX402" s="32"/>
      <c r="DY402" s="32"/>
      <c r="DZ402" s="32"/>
      <c r="EA402" s="32"/>
      <c r="EB402" s="32"/>
      <c r="EC402" s="32"/>
      <c r="ED402" s="32"/>
      <c r="EE402" s="32"/>
      <c r="EF402" s="32"/>
      <c r="EG402" s="32"/>
      <c r="EH402" s="32"/>
      <c r="EI402" s="32"/>
      <c r="EJ402" s="32"/>
      <c r="EK402" s="32"/>
      <c r="EL402" s="32"/>
      <c r="EM402" s="32"/>
      <c r="EN402" s="32"/>
      <c r="EO402" s="32"/>
      <c r="EP402" s="32"/>
      <c r="EQ402" s="32"/>
      <c r="ER402" s="32"/>
      <c r="ES402" s="32"/>
      <c r="ET402" s="32"/>
      <c r="EU402" s="32"/>
      <c r="EV402" s="32"/>
      <c r="EW402" s="32"/>
      <c r="EX402" s="32"/>
      <c r="EY402" s="32"/>
      <c r="EZ402" s="32"/>
      <c r="FA402" s="32"/>
      <c r="FB402" s="32"/>
      <c r="FC402" s="32"/>
      <c r="FD402" s="32"/>
      <c r="FE402" s="32"/>
      <c r="FF402" s="32"/>
      <c r="FG402" s="32"/>
      <c r="FH402" s="32"/>
      <c r="FI402" s="32"/>
      <c r="FJ402" s="32"/>
      <c r="FK402" s="32"/>
      <c r="FL402" s="32"/>
      <c r="FM402" s="32"/>
      <c r="FN402" s="32"/>
      <c r="FO402" s="32"/>
      <c r="FP402" s="32"/>
      <c r="FQ402" s="32"/>
      <c r="FR402" s="32"/>
      <c r="FS402" s="32"/>
      <c r="FT402" s="32"/>
      <c r="FU402" s="32"/>
      <c r="FV402" s="32"/>
      <c r="FW402" s="32"/>
      <c r="FX402" s="32"/>
      <c r="FY402" s="32"/>
      <c r="FZ402" s="32"/>
      <c r="GA402" s="32"/>
      <c r="GB402" s="32"/>
      <c r="GC402" s="32"/>
      <c r="GD402" s="32"/>
      <c r="GE402" s="32"/>
      <c r="GF402" s="32"/>
      <c r="GG402" s="32"/>
      <c r="GH402" s="32"/>
      <c r="GI402" s="32"/>
      <c r="GJ402" s="32"/>
      <c r="GK402" s="32"/>
      <c r="GL402" s="32"/>
      <c r="GM402" s="32"/>
      <c r="GN402" s="32"/>
      <c r="GO402" s="32"/>
      <c r="GP402" s="32"/>
      <c r="GQ402" s="32"/>
      <c r="GR402" s="32"/>
      <c r="GS402" s="32"/>
      <c r="GT402" s="32"/>
      <c r="GU402" s="32"/>
      <c r="GV402" s="32"/>
      <c r="GW402" s="32"/>
      <c r="GX402" s="32"/>
      <c r="GY402" s="32"/>
      <c r="GZ402" s="32"/>
      <c r="HA402" s="32"/>
      <c r="HB402" s="32"/>
      <c r="HC402" s="32"/>
      <c r="HD402" s="32"/>
      <c r="HE402" s="32"/>
      <c r="HF402" s="32"/>
      <c r="HG402" s="32"/>
      <c r="HH402" s="32"/>
      <c r="HI402" s="32"/>
      <c r="HJ402" s="32"/>
      <c r="HK402" s="32"/>
      <c r="HL402" s="32"/>
      <c r="HM402" s="32"/>
      <c r="HN402" s="32"/>
      <c r="HO402" s="32"/>
      <c r="HP402" s="32"/>
    </row>
    <row r="403" spans="2:224" ht="15.4" x14ac:dyDescent="0.45">
      <c r="B403" s="327" t="s">
        <v>137</v>
      </c>
      <c r="C403" s="67" t="s">
        <v>138</v>
      </c>
      <c r="D403" s="165"/>
      <c r="G403" s="328"/>
      <c r="H403" s="32"/>
      <c r="I403" s="334"/>
      <c r="J403" s="32"/>
      <c r="L403" s="165"/>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c r="CK403" s="32"/>
      <c r="CL403" s="32"/>
      <c r="CM403" s="32"/>
      <c r="CN403" s="32"/>
      <c r="CO403" s="32"/>
      <c r="CP403" s="32"/>
      <c r="CQ403" s="32"/>
      <c r="CR403" s="32"/>
      <c r="CS403" s="32"/>
      <c r="CT403" s="32"/>
      <c r="CU403" s="32"/>
      <c r="CV403" s="32"/>
      <c r="CW403" s="32"/>
      <c r="CX403" s="32"/>
      <c r="CY403" s="32"/>
      <c r="CZ403" s="32"/>
      <c r="DA403" s="32"/>
      <c r="DB403" s="32"/>
      <c r="DC403" s="32"/>
      <c r="DD403" s="32"/>
      <c r="DE403" s="32"/>
      <c r="DF403" s="32"/>
      <c r="DG403" s="32"/>
      <c r="DH403" s="32"/>
      <c r="DI403" s="32"/>
      <c r="DJ403" s="32"/>
      <c r="DK403" s="32"/>
      <c r="DL403" s="32"/>
      <c r="DM403" s="32"/>
      <c r="DN403" s="32"/>
      <c r="DO403" s="32"/>
      <c r="DP403" s="32"/>
      <c r="DQ403" s="32"/>
      <c r="DR403" s="32"/>
      <c r="DS403" s="32"/>
      <c r="DT403" s="32"/>
      <c r="DU403" s="32"/>
      <c r="DV403" s="32"/>
      <c r="DW403" s="32"/>
      <c r="DX403" s="32"/>
      <c r="DY403" s="32"/>
      <c r="DZ403" s="32"/>
      <c r="EA403" s="32"/>
      <c r="EB403" s="32"/>
      <c r="EC403" s="32"/>
      <c r="ED403" s="32"/>
      <c r="EE403" s="32"/>
      <c r="EF403" s="32"/>
      <c r="EG403" s="32"/>
      <c r="EH403" s="32"/>
      <c r="EI403" s="32"/>
      <c r="EJ403" s="32"/>
      <c r="EK403" s="32"/>
      <c r="EL403" s="32"/>
      <c r="EM403" s="32"/>
      <c r="EN403" s="32"/>
      <c r="EO403" s="32"/>
      <c r="EP403" s="32"/>
      <c r="EQ403" s="32"/>
      <c r="ER403" s="32"/>
      <c r="ES403" s="32"/>
      <c r="ET403" s="32"/>
      <c r="EU403" s="32"/>
      <c r="EV403" s="32"/>
      <c r="EW403" s="32"/>
      <c r="EX403" s="32"/>
      <c r="EY403" s="32"/>
      <c r="EZ403" s="32"/>
      <c r="FA403" s="32"/>
      <c r="FB403" s="32"/>
      <c r="FC403" s="32"/>
      <c r="FD403" s="32"/>
      <c r="FE403" s="32"/>
      <c r="FF403" s="32"/>
      <c r="FG403" s="32"/>
      <c r="FH403" s="32"/>
      <c r="FI403" s="32"/>
      <c r="FJ403" s="32"/>
      <c r="FK403" s="32"/>
      <c r="FL403" s="32"/>
      <c r="FM403" s="32"/>
      <c r="FN403" s="32"/>
      <c r="FO403" s="32"/>
      <c r="FP403" s="32"/>
      <c r="FQ403" s="32"/>
      <c r="FR403" s="32"/>
      <c r="FS403" s="32"/>
      <c r="FT403" s="32"/>
      <c r="FU403" s="32"/>
      <c r="FV403" s="32"/>
      <c r="FW403" s="32"/>
      <c r="FX403" s="32"/>
      <c r="FY403" s="32"/>
      <c r="FZ403" s="32"/>
      <c r="GA403" s="32"/>
      <c r="GB403" s="32"/>
      <c r="GC403" s="32"/>
      <c r="GD403" s="32"/>
      <c r="GE403" s="32"/>
      <c r="GF403" s="32"/>
      <c r="GG403" s="32"/>
      <c r="GH403" s="32"/>
      <c r="GI403" s="32"/>
      <c r="GJ403" s="32"/>
      <c r="GK403" s="32"/>
      <c r="GL403" s="32"/>
      <c r="GM403" s="32"/>
      <c r="GN403" s="32"/>
      <c r="GO403" s="32"/>
      <c r="GP403" s="32"/>
      <c r="GQ403" s="32"/>
      <c r="GR403" s="32"/>
      <c r="GS403" s="32"/>
      <c r="GT403" s="32"/>
      <c r="GU403" s="32"/>
      <c r="GV403" s="32"/>
      <c r="GW403" s="32"/>
      <c r="GX403" s="32"/>
      <c r="GY403" s="32"/>
      <c r="GZ403" s="32"/>
      <c r="HA403" s="32"/>
      <c r="HB403" s="32"/>
      <c r="HC403" s="32"/>
      <c r="HD403" s="32"/>
      <c r="HE403" s="32"/>
      <c r="HF403" s="32"/>
      <c r="HG403" s="32"/>
      <c r="HH403" s="32"/>
      <c r="HI403" s="32"/>
      <c r="HJ403" s="32"/>
      <c r="HK403" s="32"/>
      <c r="HL403" s="32"/>
      <c r="HM403" s="32"/>
      <c r="HN403" s="32"/>
      <c r="HO403" s="32"/>
      <c r="HP403" s="32"/>
    </row>
    <row r="404" spans="2:224" s="30" customFormat="1" x14ac:dyDescent="0.5">
      <c r="B404" s="329"/>
      <c r="C404" s="32" t="s">
        <v>139</v>
      </c>
      <c r="D404" s="165"/>
      <c r="E404" s="29"/>
      <c r="F404" s="64"/>
      <c r="G404" s="328"/>
      <c r="H404" s="276"/>
      <c r="I404" s="336"/>
      <c r="J404" s="276"/>
      <c r="K404" s="323"/>
      <c r="L404" s="325"/>
      <c r="M404" s="276"/>
      <c r="N404" s="276"/>
      <c r="O404" s="276"/>
      <c r="P404" s="276"/>
      <c r="Q404" s="276"/>
      <c r="R404" s="276"/>
      <c r="S404" s="276"/>
      <c r="T404" s="276"/>
      <c r="U404" s="276"/>
      <c r="V404" s="276"/>
      <c r="W404" s="276"/>
      <c r="X404" s="276"/>
      <c r="Y404" s="276"/>
      <c r="Z404" s="276"/>
      <c r="AA404" s="276"/>
      <c r="AB404" s="276"/>
      <c r="AC404" s="276"/>
      <c r="AD404" s="276"/>
      <c r="AE404" s="276"/>
      <c r="AF404" s="276"/>
      <c r="AG404" s="276"/>
      <c r="AH404" s="276"/>
      <c r="AI404" s="276"/>
      <c r="AJ404" s="276"/>
      <c r="AK404" s="276"/>
      <c r="AL404" s="276"/>
      <c r="AM404" s="276"/>
      <c r="AN404" s="276"/>
      <c r="AO404" s="276"/>
      <c r="AP404" s="276"/>
      <c r="AQ404" s="276"/>
      <c r="AR404" s="276"/>
      <c r="AS404" s="276"/>
      <c r="AT404" s="276"/>
      <c r="AU404" s="276"/>
      <c r="AV404" s="276"/>
      <c r="AW404" s="276"/>
      <c r="AX404" s="276"/>
      <c r="AY404" s="276"/>
      <c r="AZ404" s="276"/>
      <c r="BA404" s="276"/>
      <c r="BB404" s="276"/>
      <c r="BC404" s="276"/>
      <c r="BD404" s="276"/>
      <c r="BE404" s="276"/>
      <c r="BF404" s="276"/>
      <c r="BG404" s="276"/>
      <c r="BH404" s="276"/>
      <c r="BI404" s="276"/>
      <c r="BJ404" s="276"/>
      <c r="BK404" s="276"/>
      <c r="BL404" s="276"/>
      <c r="BM404" s="276"/>
      <c r="BN404" s="276"/>
      <c r="BO404" s="276"/>
      <c r="BP404" s="276"/>
      <c r="BQ404" s="276"/>
      <c r="BR404" s="276"/>
      <c r="BS404" s="276"/>
      <c r="BT404" s="276"/>
      <c r="BU404" s="276"/>
      <c r="BV404" s="276"/>
      <c r="BW404" s="276"/>
      <c r="BX404" s="276"/>
      <c r="BY404" s="276"/>
      <c r="BZ404" s="276"/>
      <c r="CA404" s="276"/>
      <c r="CB404" s="276"/>
      <c r="CC404" s="276"/>
      <c r="CD404" s="276"/>
      <c r="CE404" s="276"/>
      <c r="CF404" s="276"/>
      <c r="CG404" s="276"/>
      <c r="CH404" s="276"/>
      <c r="CI404" s="276"/>
      <c r="CJ404" s="276"/>
      <c r="CK404" s="276"/>
      <c r="CL404" s="276"/>
      <c r="CM404" s="276"/>
      <c r="CN404" s="276"/>
      <c r="CO404" s="276"/>
      <c r="CP404" s="276"/>
      <c r="CQ404" s="276"/>
      <c r="CR404" s="276"/>
      <c r="CS404" s="276"/>
      <c r="CT404" s="276"/>
      <c r="CU404" s="276"/>
      <c r="CV404" s="276"/>
      <c r="CW404" s="276"/>
      <c r="CX404" s="276"/>
      <c r="CY404" s="276"/>
      <c r="CZ404" s="276"/>
      <c r="DA404" s="276"/>
      <c r="DB404" s="276"/>
      <c r="DC404" s="276"/>
      <c r="DD404" s="276"/>
      <c r="DE404" s="276"/>
      <c r="DF404" s="276"/>
      <c r="DG404" s="276"/>
      <c r="DH404" s="276"/>
      <c r="DI404" s="276"/>
      <c r="DJ404" s="276"/>
      <c r="DK404" s="276"/>
      <c r="DL404" s="276"/>
      <c r="DM404" s="276"/>
      <c r="DN404" s="276"/>
      <c r="DO404" s="276"/>
      <c r="DP404" s="276"/>
      <c r="DQ404" s="276"/>
      <c r="DR404" s="276"/>
      <c r="DS404" s="276"/>
      <c r="DT404" s="276"/>
      <c r="DU404" s="276"/>
      <c r="DV404" s="276"/>
      <c r="DW404" s="276"/>
      <c r="DX404" s="276"/>
      <c r="DY404" s="276"/>
      <c r="DZ404" s="276"/>
      <c r="EA404" s="276"/>
      <c r="EB404" s="276"/>
      <c r="EC404" s="276"/>
      <c r="ED404" s="276"/>
      <c r="EE404" s="276"/>
      <c r="EF404" s="276"/>
      <c r="EG404" s="276"/>
      <c r="EH404" s="276"/>
      <c r="EI404" s="276"/>
      <c r="EJ404" s="276"/>
      <c r="EK404" s="276"/>
      <c r="EL404" s="276"/>
      <c r="EM404" s="276"/>
      <c r="EN404" s="276"/>
      <c r="EO404" s="276"/>
      <c r="EP404" s="276"/>
      <c r="EQ404" s="276"/>
      <c r="ER404" s="276"/>
      <c r="ES404" s="276"/>
      <c r="ET404" s="276"/>
      <c r="EU404" s="276"/>
      <c r="EV404" s="276"/>
      <c r="EW404" s="276"/>
      <c r="EX404" s="276"/>
      <c r="EY404" s="276"/>
      <c r="EZ404" s="276"/>
      <c r="FA404" s="276"/>
      <c r="FB404" s="276"/>
      <c r="FC404" s="276"/>
      <c r="FD404" s="276"/>
      <c r="FE404" s="276"/>
      <c r="FF404" s="276"/>
      <c r="FG404" s="276"/>
      <c r="FH404" s="276"/>
      <c r="FI404" s="276"/>
      <c r="FJ404" s="276"/>
      <c r="FK404" s="276"/>
      <c r="FL404" s="276"/>
      <c r="FM404" s="276"/>
      <c r="FN404" s="276"/>
      <c r="FO404" s="276"/>
      <c r="FP404" s="276"/>
      <c r="FQ404" s="276"/>
      <c r="FR404" s="276"/>
      <c r="FS404" s="276"/>
      <c r="FT404" s="276"/>
      <c r="FU404" s="276"/>
      <c r="FV404" s="276"/>
      <c r="FW404" s="276"/>
      <c r="FX404" s="276"/>
      <c r="FY404" s="276"/>
      <c r="FZ404" s="276"/>
      <c r="GA404" s="276"/>
      <c r="GB404" s="276"/>
      <c r="GC404" s="276"/>
      <c r="GD404" s="276"/>
      <c r="GE404" s="276"/>
      <c r="GF404" s="276"/>
      <c r="GG404" s="276"/>
      <c r="GH404" s="276"/>
      <c r="GI404" s="276"/>
      <c r="GJ404" s="276"/>
      <c r="GK404" s="276"/>
      <c r="GL404" s="276"/>
      <c r="GM404" s="276"/>
      <c r="GN404" s="276"/>
      <c r="GO404" s="276"/>
      <c r="GP404" s="276"/>
      <c r="GQ404" s="276"/>
      <c r="GR404" s="276"/>
      <c r="GS404" s="276"/>
      <c r="GT404" s="276"/>
      <c r="GU404" s="276"/>
      <c r="GV404" s="276"/>
      <c r="GW404" s="276"/>
      <c r="GX404" s="276"/>
      <c r="GY404" s="276"/>
      <c r="GZ404" s="276"/>
      <c r="HA404" s="276"/>
      <c r="HB404" s="276"/>
      <c r="HC404" s="276"/>
      <c r="HD404" s="276"/>
      <c r="HE404" s="276"/>
      <c r="HF404" s="276"/>
      <c r="HG404" s="276"/>
      <c r="HH404" s="276"/>
      <c r="HI404" s="276"/>
      <c r="HJ404" s="276"/>
      <c r="HK404" s="276"/>
      <c r="HL404" s="276"/>
      <c r="HM404" s="276"/>
      <c r="HN404" s="276"/>
      <c r="HO404" s="276"/>
      <c r="HP404" s="276"/>
    </row>
    <row r="405" spans="2:224" s="30" customFormat="1" x14ac:dyDescent="0.5">
      <c r="B405" s="329">
        <v>1</v>
      </c>
      <c r="C405" s="32" t="s">
        <v>140</v>
      </c>
      <c r="D405" s="165"/>
      <c r="E405" s="29"/>
      <c r="F405" s="64"/>
      <c r="G405" s="328"/>
      <c r="H405" s="276"/>
      <c r="I405" s="336"/>
      <c r="J405" s="276"/>
      <c r="K405" s="323"/>
      <c r="L405" s="325"/>
      <c r="M405" s="276"/>
      <c r="N405" s="276"/>
      <c r="O405" s="276"/>
      <c r="P405" s="276"/>
      <c r="Q405" s="276"/>
      <c r="R405" s="276"/>
      <c r="S405" s="276"/>
      <c r="T405" s="276"/>
      <c r="U405" s="276"/>
      <c r="V405" s="276"/>
      <c r="W405" s="276"/>
      <c r="X405" s="276"/>
      <c r="Y405" s="276"/>
      <c r="Z405" s="276"/>
      <c r="AA405" s="276"/>
      <c r="AB405" s="276"/>
      <c r="AC405" s="276"/>
      <c r="AD405" s="276"/>
      <c r="AE405" s="276"/>
      <c r="AF405" s="276"/>
      <c r="AG405" s="276"/>
      <c r="AH405" s="276"/>
      <c r="AI405" s="276"/>
      <c r="AJ405" s="276"/>
      <c r="AK405" s="276"/>
      <c r="AL405" s="276"/>
      <c r="AM405" s="276"/>
      <c r="AN405" s="276"/>
      <c r="AO405" s="276"/>
      <c r="AP405" s="276"/>
      <c r="AQ405" s="276"/>
      <c r="AR405" s="276"/>
      <c r="AS405" s="276"/>
      <c r="AT405" s="276"/>
      <c r="AU405" s="276"/>
      <c r="AV405" s="276"/>
      <c r="AW405" s="276"/>
      <c r="AX405" s="276"/>
      <c r="AY405" s="276"/>
      <c r="AZ405" s="276"/>
      <c r="BA405" s="276"/>
      <c r="BB405" s="276"/>
      <c r="BC405" s="276"/>
      <c r="BD405" s="276"/>
      <c r="BE405" s="276"/>
      <c r="BF405" s="276"/>
      <c r="BG405" s="276"/>
      <c r="BH405" s="276"/>
      <c r="BI405" s="276"/>
      <c r="BJ405" s="276"/>
      <c r="BK405" s="276"/>
      <c r="BL405" s="276"/>
      <c r="BM405" s="276"/>
      <c r="BN405" s="276"/>
      <c r="BO405" s="276"/>
      <c r="BP405" s="276"/>
      <c r="BQ405" s="276"/>
      <c r="BR405" s="276"/>
      <c r="BS405" s="276"/>
      <c r="BT405" s="276"/>
      <c r="BU405" s="276"/>
      <c r="BV405" s="276"/>
      <c r="BW405" s="276"/>
      <c r="BX405" s="276"/>
      <c r="BY405" s="276"/>
      <c r="BZ405" s="276"/>
      <c r="CA405" s="276"/>
      <c r="CB405" s="276"/>
      <c r="CC405" s="276"/>
      <c r="CD405" s="276"/>
      <c r="CE405" s="276"/>
      <c r="CF405" s="276"/>
      <c r="CG405" s="276"/>
      <c r="CH405" s="276"/>
      <c r="CI405" s="276"/>
      <c r="CJ405" s="276"/>
      <c r="CK405" s="276"/>
      <c r="CL405" s="276"/>
      <c r="CM405" s="276"/>
      <c r="CN405" s="276"/>
      <c r="CO405" s="276"/>
      <c r="CP405" s="276"/>
      <c r="CQ405" s="276"/>
      <c r="CR405" s="276"/>
      <c r="CS405" s="276"/>
      <c r="CT405" s="276"/>
      <c r="CU405" s="276"/>
      <c r="CV405" s="276"/>
      <c r="CW405" s="276"/>
      <c r="CX405" s="276"/>
      <c r="CY405" s="276"/>
      <c r="CZ405" s="276"/>
      <c r="DA405" s="276"/>
      <c r="DB405" s="276"/>
      <c r="DC405" s="276"/>
      <c r="DD405" s="276"/>
      <c r="DE405" s="276"/>
      <c r="DF405" s="276"/>
      <c r="DG405" s="276"/>
      <c r="DH405" s="276"/>
      <c r="DI405" s="276"/>
      <c r="DJ405" s="276"/>
      <c r="DK405" s="276"/>
      <c r="DL405" s="276"/>
      <c r="DM405" s="276"/>
      <c r="DN405" s="276"/>
      <c r="DO405" s="276"/>
      <c r="DP405" s="276"/>
      <c r="DQ405" s="276"/>
      <c r="DR405" s="276"/>
      <c r="DS405" s="276"/>
      <c r="DT405" s="276"/>
      <c r="DU405" s="276"/>
      <c r="DV405" s="276"/>
      <c r="DW405" s="276"/>
      <c r="DX405" s="276"/>
      <c r="DY405" s="276"/>
      <c r="DZ405" s="276"/>
      <c r="EA405" s="276"/>
      <c r="EB405" s="276"/>
      <c r="EC405" s="276"/>
      <c r="ED405" s="276"/>
      <c r="EE405" s="276"/>
      <c r="EF405" s="276"/>
      <c r="EG405" s="276"/>
      <c r="EH405" s="276"/>
      <c r="EI405" s="276"/>
      <c r="EJ405" s="276"/>
      <c r="EK405" s="276"/>
      <c r="EL405" s="276"/>
      <c r="EM405" s="276"/>
      <c r="EN405" s="276"/>
      <c r="EO405" s="276"/>
      <c r="EP405" s="276"/>
      <c r="EQ405" s="276"/>
      <c r="ER405" s="276"/>
      <c r="ES405" s="276"/>
      <c r="ET405" s="276"/>
      <c r="EU405" s="276"/>
      <c r="EV405" s="276"/>
      <c r="EW405" s="276"/>
      <c r="EX405" s="276"/>
      <c r="EY405" s="276"/>
      <c r="EZ405" s="276"/>
      <c r="FA405" s="276"/>
      <c r="FB405" s="276"/>
      <c r="FC405" s="276"/>
      <c r="FD405" s="276"/>
      <c r="FE405" s="276"/>
      <c r="FF405" s="276"/>
      <c r="FG405" s="276"/>
      <c r="FH405" s="276"/>
      <c r="FI405" s="276"/>
      <c r="FJ405" s="276"/>
      <c r="FK405" s="276"/>
      <c r="FL405" s="276"/>
      <c r="FM405" s="276"/>
      <c r="FN405" s="276"/>
      <c r="FO405" s="276"/>
      <c r="FP405" s="276"/>
      <c r="FQ405" s="276"/>
      <c r="FR405" s="276"/>
      <c r="FS405" s="276"/>
      <c r="FT405" s="276"/>
      <c r="FU405" s="276"/>
      <c r="FV405" s="276"/>
      <c r="FW405" s="276"/>
      <c r="FX405" s="276"/>
      <c r="FY405" s="276"/>
      <c r="FZ405" s="276"/>
      <c r="GA405" s="276"/>
      <c r="GB405" s="276"/>
      <c r="GC405" s="276"/>
      <c r="GD405" s="276"/>
      <c r="GE405" s="276"/>
      <c r="GF405" s="276"/>
      <c r="GG405" s="276"/>
      <c r="GH405" s="276"/>
      <c r="GI405" s="276"/>
      <c r="GJ405" s="276"/>
      <c r="GK405" s="276"/>
      <c r="GL405" s="276"/>
      <c r="GM405" s="276"/>
      <c r="GN405" s="276"/>
      <c r="GO405" s="276"/>
      <c r="GP405" s="276"/>
      <c r="GQ405" s="276"/>
      <c r="GR405" s="276"/>
      <c r="GS405" s="276"/>
      <c r="GT405" s="276"/>
      <c r="GU405" s="276"/>
      <c r="GV405" s="276"/>
      <c r="GW405" s="276"/>
      <c r="GX405" s="276"/>
      <c r="GY405" s="276"/>
      <c r="GZ405" s="276"/>
      <c r="HA405" s="276"/>
      <c r="HB405" s="276"/>
      <c r="HC405" s="276"/>
      <c r="HD405" s="276"/>
      <c r="HE405" s="276"/>
      <c r="HF405" s="276"/>
      <c r="HG405" s="276"/>
      <c r="HH405" s="276"/>
      <c r="HI405" s="276"/>
      <c r="HJ405" s="276"/>
      <c r="HK405" s="276"/>
      <c r="HL405" s="276"/>
      <c r="HM405" s="276"/>
      <c r="HN405" s="276"/>
      <c r="HO405" s="276"/>
      <c r="HP405" s="276"/>
    </row>
    <row r="406" spans="2:224" s="30" customFormat="1" x14ac:dyDescent="0.5">
      <c r="B406" s="329">
        <v>2</v>
      </c>
      <c r="C406" s="32" t="s">
        <v>141</v>
      </c>
      <c r="D406" s="165"/>
      <c r="E406" s="29"/>
      <c r="F406" s="64"/>
      <c r="G406" s="328"/>
      <c r="H406" s="276"/>
      <c r="I406" s="336"/>
      <c r="J406" s="276"/>
      <c r="K406" s="323"/>
      <c r="L406" s="325"/>
      <c r="M406" s="276"/>
      <c r="N406" s="276"/>
      <c r="O406" s="276"/>
      <c r="P406" s="276"/>
      <c r="Q406" s="276"/>
      <c r="R406" s="276"/>
      <c r="S406" s="276"/>
      <c r="T406" s="276"/>
      <c r="U406" s="276"/>
      <c r="V406" s="276"/>
      <c r="W406" s="276"/>
      <c r="X406" s="276"/>
      <c r="Y406" s="276"/>
      <c r="Z406" s="276"/>
      <c r="AA406" s="276"/>
      <c r="AB406" s="276"/>
      <c r="AC406" s="276"/>
      <c r="AD406" s="276"/>
      <c r="AE406" s="276"/>
      <c r="AF406" s="276"/>
      <c r="AG406" s="276"/>
      <c r="AH406" s="276"/>
      <c r="AI406" s="276"/>
      <c r="AJ406" s="276"/>
      <c r="AK406" s="276"/>
      <c r="AL406" s="276"/>
      <c r="AM406" s="276"/>
      <c r="AN406" s="276"/>
      <c r="AO406" s="276"/>
      <c r="AP406" s="276"/>
      <c r="AQ406" s="276"/>
      <c r="AR406" s="276"/>
      <c r="AS406" s="276"/>
      <c r="AT406" s="276"/>
      <c r="AU406" s="276"/>
      <c r="AV406" s="276"/>
      <c r="AW406" s="276"/>
      <c r="AX406" s="276"/>
      <c r="AY406" s="276"/>
      <c r="AZ406" s="276"/>
      <c r="BA406" s="276"/>
      <c r="BB406" s="276"/>
      <c r="BC406" s="276"/>
      <c r="BD406" s="276"/>
      <c r="BE406" s="276"/>
      <c r="BF406" s="276"/>
      <c r="BG406" s="276"/>
      <c r="BH406" s="276"/>
      <c r="BI406" s="276"/>
      <c r="BJ406" s="276"/>
      <c r="BK406" s="276"/>
      <c r="BL406" s="276"/>
      <c r="BM406" s="276"/>
      <c r="BN406" s="276"/>
      <c r="BO406" s="276"/>
      <c r="BP406" s="276"/>
      <c r="BQ406" s="276"/>
      <c r="BR406" s="276"/>
      <c r="BS406" s="276"/>
      <c r="BT406" s="276"/>
      <c r="BU406" s="276"/>
      <c r="BV406" s="276"/>
      <c r="BW406" s="276"/>
      <c r="BX406" s="276"/>
      <c r="BY406" s="276"/>
      <c r="BZ406" s="276"/>
      <c r="CA406" s="276"/>
      <c r="CB406" s="276"/>
      <c r="CC406" s="276"/>
      <c r="CD406" s="276"/>
      <c r="CE406" s="276"/>
      <c r="CF406" s="276"/>
      <c r="CG406" s="276"/>
      <c r="CH406" s="276"/>
      <c r="CI406" s="276"/>
      <c r="CJ406" s="276"/>
      <c r="CK406" s="276"/>
      <c r="CL406" s="276"/>
      <c r="CM406" s="276"/>
      <c r="CN406" s="276"/>
      <c r="CO406" s="276"/>
      <c r="CP406" s="276"/>
      <c r="CQ406" s="276"/>
      <c r="CR406" s="276"/>
      <c r="CS406" s="276"/>
      <c r="CT406" s="276"/>
      <c r="CU406" s="276"/>
      <c r="CV406" s="276"/>
      <c r="CW406" s="276"/>
      <c r="CX406" s="276"/>
      <c r="CY406" s="276"/>
      <c r="CZ406" s="276"/>
      <c r="DA406" s="276"/>
      <c r="DB406" s="276"/>
      <c r="DC406" s="276"/>
      <c r="DD406" s="276"/>
      <c r="DE406" s="276"/>
      <c r="DF406" s="276"/>
      <c r="DG406" s="276"/>
      <c r="DH406" s="276"/>
      <c r="DI406" s="276"/>
      <c r="DJ406" s="276"/>
      <c r="DK406" s="276"/>
      <c r="DL406" s="276"/>
      <c r="DM406" s="276"/>
      <c r="DN406" s="276"/>
      <c r="DO406" s="276"/>
      <c r="DP406" s="276"/>
      <c r="DQ406" s="276"/>
      <c r="DR406" s="276"/>
      <c r="DS406" s="276"/>
      <c r="DT406" s="276"/>
      <c r="DU406" s="276"/>
      <c r="DV406" s="276"/>
      <c r="DW406" s="276"/>
      <c r="DX406" s="276"/>
      <c r="DY406" s="276"/>
      <c r="DZ406" s="276"/>
      <c r="EA406" s="276"/>
      <c r="EB406" s="276"/>
      <c r="EC406" s="276"/>
      <c r="ED406" s="276"/>
      <c r="EE406" s="276"/>
      <c r="EF406" s="276"/>
      <c r="EG406" s="276"/>
      <c r="EH406" s="276"/>
      <c r="EI406" s="276"/>
      <c r="EJ406" s="276"/>
      <c r="EK406" s="276"/>
      <c r="EL406" s="276"/>
      <c r="EM406" s="276"/>
      <c r="EN406" s="276"/>
      <c r="EO406" s="276"/>
      <c r="EP406" s="276"/>
      <c r="EQ406" s="276"/>
      <c r="ER406" s="276"/>
      <c r="ES406" s="276"/>
      <c r="ET406" s="276"/>
      <c r="EU406" s="276"/>
      <c r="EV406" s="276"/>
      <c r="EW406" s="276"/>
      <c r="EX406" s="276"/>
      <c r="EY406" s="276"/>
      <c r="EZ406" s="276"/>
      <c r="FA406" s="276"/>
      <c r="FB406" s="276"/>
      <c r="FC406" s="276"/>
      <c r="FD406" s="276"/>
      <c r="FE406" s="276"/>
      <c r="FF406" s="276"/>
      <c r="FG406" s="276"/>
      <c r="FH406" s="276"/>
      <c r="FI406" s="276"/>
      <c r="FJ406" s="276"/>
      <c r="FK406" s="276"/>
      <c r="FL406" s="276"/>
      <c r="FM406" s="276"/>
      <c r="FN406" s="276"/>
      <c r="FO406" s="276"/>
      <c r="FP406" s="276"/>
      <c r="FQ406" s="276"/>
      <c r="FR406" s="276"/>
      <c r="FS406" s="276"/>
      <c r="FT406" s="276"/>
      <c r="FU406" s="276"/>
      <c r="FV406" s="276"/>
      <c r="FW406" s="276"/>
      <c r="FX406" s="276"/>
      <c r="FY406" s="276"/>
      <c r="FZ406" s="276"/>
      <c r="GA406" s="276"/>
      <c r="GB406" s="276"/>
      <c r="GC406" s="276"/>
      <c r="GD406" s="276"/>
      <c r="GE406" s="276"/>
      <c r="GF406" s="276"/>
      <c r="GG406" s="276"/>
      <c r="GH406" s="276"/>
      <c r="GI406" s="276"/>
      <c r="GJ406" s="276"/>
      <c r="GK406" s="276"/>
      <c r="GL406" s="276"/>
      <c r="GM406" s="276"/>
      <c r="GN406" s="276"/>
      <c r="GO406" s="276"/>
      <c r="GP406" s="276"/>
      <c r="GQ406" s="276"/>
      <c r="GR406" s="276"/>
      <c r="GS406" s="276"/>
      <c r="GT406" s="276"/>
      <c r="GU406" s="276"/>
      <c r="GV406" s="276"/>
      <c r="GW406" s="276"/>
      <c r="GX406" s="276"/>
      <c r="GY406" s="276"/>
      <c r="GZ406" s="276"/>
      <c r="HA406" s="276"/>
      <c r="HB406" s="276"/>
      <c r="HC406" s="276"/>
      <c r="HD406" s="276"/>
      <c r="HE406" s="276"/>
      <c r="HF406" s="276"/>
      <c r="HG406" s="276"/>
      <c r="HH406" s="276"/>
      <c r="HI406" s="276"/>
      <c r="HJ406" s="276"/>
      <c r="HK406" s="276"/>
      <c r="HL406" s="276"/>
      <c r="HM406" s="276"/>
      <c r="HN406" s="276"/>
      <c r="HO406" s="276"/>
      <c r="HP406" s="276"/>
    </row>
    <row r="407" spans="2:224" s="30" customFormat="1" x14ac:dyDescent="0.5">
      <c r="B407" s="329">
        <v>3</v>
      </c>
      <c r="C407" s="32" t="s">
        <v>142</v>
      </c>
      <c r="D407" s="165"/>
      <c r="E407" s="29"/>
      <c r="F407" s="64"/>
      <c r="G407" s="328"/>
      <c r="H407" s="276"/>
      <c r="I407" s="336"/>
      <c r="J407" s="276"/>
      <c r="K407" s="323"/>
      <c r="L407" s="325"/>
      <c r="M407" s="276"/>
      <c r="N407" s="276"/>
      <c r="O407" s="276"/>
      <c r="P407" s="276"/>
      <c r="Q407" s="276"/>
      <c r="R407" s="276"/>
      <c r="S407" s="276"/>
      <c r="T407" s="276"/>
      <c r="U407" s="276"/>
      <c r="V407" s="276"/>
      <c r="W407" s="276"/>
      <c r="X407" s="276"/>
      <c r="Y407" s="276"/>
      <c r="Z407" s="276"/>
      <c r="AA407" s="276"/>
      <c r="AB407" s="276"/>
      <c r="AC407" s="276"/>
      <c r="AD407" s="276"/>
      <c r="AE407" s="276"/>
      <c r="AF407" s="276"/>
      <c r="AG407" s="276"/>
      <c r="AH407" s="276"/>
      <c r="AI407" s="276"/>
      <c r="AJ407" s="276"/>
      <c r="AK407" s="276"/>
      <c r="AL407" s="276"/>
      <c r="AM407" s="276"/>
      <c r="AN407" s="276"/>
      <c r="AO407" s="276"/>
      <c r="AP407" s="276"/>
      <c r="AQ407" s="276"/>
      <c r="AR407" s="276"/>
      <c r="AS407" s="276"/>
      <c r="AT407" s="276"/>
      <c r="AU407" s="276"/>
      <c r="AV407" s="276"/>
      <c r="AW407" s="276"/>
      <c r="AX407" s="276"/>
      <c r="AY407" s="276"/>
      <c r="AZ407" s="276"/>
      <c r="BA407" s="276"/>
      <c r="BB407" s="276"/>
      <c r="BC407" s="276"/>
      <c r="BD407" s="276"/>
      <c r="BE407" s="276"/>
      <c r="BF407" s="276"/>
      <c r="BG407" s="276"/>
      <c r="BH407" s="276"/>
      <c r="BI407" s="276"/>
      <c r="BJ407" s="276"/>
      <c r="BK407" s="276"/>
      <c r="BL407" s="276"/>
      <c r="BM407" s="276"/>
      <c r="BN407" s="276"/>
      <c r="BO407" s="276"/>
      <c r="BP407" s="276"/>
      <c r="BQ407" s="276"/>
      <c r="BR407" s="276"/>
      <c r="BS407" s="276"/>
      <c r="BT407" s="276"/>
      <c r="BU407" s="276"/>
      <c r="BV407" s="276"/>
      <c r="BW407" s="276"/>
      <c r="BX407" s="276"/>
      <c r="BY407" s="276"/>
      <c r="BZ407" s="276"/>
      <c r="CA407" s="276"/>
      <c r="CB407" s="276"/>
      <c r="CC407" s="276"/>
      <c r="CD407" s="276"/>
      <c r="CE407" s="276"/>
      <c r="CF407" s="276"/>
      <c r="CG407" s="276"/>
      <c r="CH407" s="276"/>
      <c r="CI407" s="276"/>
      <c r="CJ407" s="276"/>
      <c r="CK407" s="276"/>
      <c r="CL407" s="276"/>
      <c r="CM407" s="276"/>
      <c r="CN407" s="276"/>
      <c r="CO407" s="276"/>
      <c r="CP407" s="276"/>
      <c r="CQ407" s="276"/>
      <c r="CR407" s="276"/>
      <c r="CS407" s="276"/>
      <c r="CT407" s="276"/>
      <c r="CU407" s="276"/>
      <c r="CV407" s="276"/>
      <c r="CW407" s="276"/>
      <c r="CX407" s="276"/>
      <c r="CY407" s="276"/>
      <c r="CZ407" s="276"/>
      <c r="DA407" s="276"/>
      <c r="DB407" s="276"/>
      <c r="DC407" s="276"/>
      <c r="DD407" s="276"/>
      <c r="DE407" s="276"/>
      <c r="DF407" s="276"/>
      <c r="DG407" s="276"/>
      <c r="DH407" s="276"/>
      <c r="DI407" s="276"/>
      <c r="DJ407" s="276"/>
      <c r="DK407" s="276"/>
      <c r="DL407" s="276"/>
      <c r="DM407" s="276"/>
      <c r="DN407" s="276"/>
      <c r="DO407" s="276"/>
      <c r="DP407" s="276"/>
      <c r="DQ407" s="276"/>
      <c r="DR407" s="276"/>
      <c r="DS407" s="276"/>
      <c r="DT407" s="276"/>
      <c r="DU407" s="276"/>
      <c r="DV407" s="276"/>
      <c r="DW407" s="276"/>
      <c r="DX407" s="276"/>
      <c r="DY407" s="276"/>
      <c r="DZ407" s="276"/>
      <c r="EA407" s="276"/>
      <c r="EB407" s="276"/>
      <c r="EC407" s="276"/>
      <c r="ED407" s="276"/>
      <c r="EE407" s="276"/>
      <c r="EF407" s="276"/>
      <c r="EG407" s="276"/>
      <c r="EH407" s="276"/>
      <c r="EI407" s="276"/>
      <c r="EJ407" s="276"/>
      <c r="EK407" s="276"/>
      <c r="EL407" s="276"/>
      <c r="EM407" s="276"/>
      <c r="EN407" s="276"/>
      <c r="EO407" s="276"/>
      <c r="EP407" s="276"/>
      <c r="EQ407" s="276"/>
      <c r="ER407" s="276"/>
      <c r="ES407" s="276"/>
      <c r="ET407" s="276"/>
      <c r="EU407" s="276"/>
      <c r="EV407" s="276"/>
      <c r="EW407" s="276"/>
      <c r="EX407" s="276"/>
      <c r="EY407" s="276"/>
      <c r="EZ407" s="276"/>
      <c r="FA407" s="276"/>
      <c r="FB407" s="276"/>
      <c r="FC407" s="276"/>
      <c r="FD407" s="276"/>
      <c r="FE407" s="276"/>
      <c r="FF407" s="276"/>
      <c r="FG407" s="276"/>
      <c r="FH407" s="276"/>
      <c r="FI407" s="276"/>
      <c r="FJ407" s="276"/>
      <c r="FK407" s="276"/>
      <c r="FL407" s="276"/>
      <c r="FM407" s="276"/>
      <c r="FN407" s="276"/>
      <c r="FO407" s="276"/>
      <c r="FP407" s="276"/>
      <c r="FQ407" s="276"/>
      <c r="FR407" s="276"/>
      <c r="FS407" s="276"/>
      <c r="FT407" s="276"/>
      <c r="FU407" s="276"/>
      <c r="FV407" s="276"/>
      <c r="FW407" s="276"/>
      <c r="FX407" s="276"/>
      <c r="FY407" s="276"/>
      <c r="FZ407" s="276"/>
      <c r="GA407" s="276"/>
      <c r="GB407" s="276"/>
      <c r="GC407" s="276"/>
      <c r="GD407" s="276"/>
      <c r="GE407" s="276"/>
      <c r="GF407" s="276"/>
      <c r="GG407" s="276"/>
      <c r="GH407" s="276"/>
      <c r="GI407" s="276"/>
      <c r="GJ407" s="276"/>
      <c r="GK407" s="276"/>
      <c r="GL407" s="276"/>
      <c r="GM407" s="276"/>
      <c r="GN407" s="276"/>
      <c r="GO407" s="276"/>
      <c r="GP407" s="276"/>
      <c r="GQ407" s="276"/>
      <c r="GR407" s="276"/>
      <c r="GS407" s="276"/>
      <c r="GT407" s="276"/>
      <c r="GU407" s="276"/>
      <c r="GV407" s="276"/>
      <c r="GW407" s="276"/>
      <c r="GX407" s="276"/>
      <c r="GY407" s="276"/>
      <c r="GZ407" s="276"/>
      <c r="HA407" s="276"/>
      <c r="HB407" s="276"/>
      <c r="HC407" s="276"/>
      <c r="HD407" s="276"/>
      <c r="HE407" s="276"/>
      <c r="HF407" s="276"/>
      <c r="HG407" s="276"/>
      <c r="HH407" s="276"/>
      <c r="HI407" s="276"/>
      <c r="HJ407" s="276"/>
      <c r="HK407" s="276"/>
      <c r="HL407" s="276"/>
      <c r="HM407" s="276"/>
      <c r="HN407" s="276"/>
      <c r="HO407" s="276"/>
      <c r="HP407" s="276"/>
    </row>
    <row r="408" spans="2:224" s="30" customFormat="1" x14ac:dyDescent="0.5">
      <c r="B408" s="329">
        <v>4</v>
      </c>
      <c r="C408" s="32" t="s">
        <v>143</v>
      </c>
      <c r="D408" s="165"/>
      <c r="E408" s="29"/>
      <c r="F408" s="64"/>
      <c r="G408" s="328"/>
      <c r="H408" s="276"/>
      <c r="I408" s="336"/>
      <c r="J408" s="276"/>
      <c r="K408" s="323"/>
      <c r="L408" s="325"/>
      <c r="M408" s="276"/>
      <c r="N408" s="276"/>
      <c r="O408" s="276"/>
      <c r="P408" s="276"/>
      <c r="Q408" s="276"/>
      <c r="R408" s="276"/>
      <c r="S408" s="276"/>
      <c r="T408" s="276"/>
      <c r="U408" s="276"/>
      <c r="V408" s="276"/>
      <c r="W408" s="276"/>
      <c r="X408" s="276"/>
      <c r="Y408" s="276"/>
      <c r="Z408" s="276"/>
      <c r="AA408" s="276"/>
      <c r="AB408" s="276"/>
      <c r="AC408" s="276"/>
      <c r="AD408" s="276"/>
      <c r="AE408" s="276"/>
      <c r="AF408" s="276"/>
      <c r="AG408" s="276"/>
      <c r="AH408" s="276"/>
      <c r="AI408" s="276"/>
      <c r="AJ408" s="276"/>
      <c r="AK408" s="276"/>
      <c r="AL408" s="276"/>
      <c r="AM408" s="276"/>
      <c r="AN408" s="276"/>
      <c r="AO408" s="276"/>
      <c r="AP408" s="276"/>
      <c r="AQ408" s="276"/>
      <c r="AR408" s="276"/>
      <c r="AS408" s="276"/>
      <c r="AT408" s="276"/>
      <c r="AU408" s="276"/>
      <c r="AV408" s="276"/>
      <c r="AW408" s="276"/>
      <c r="AX408" s="276"/>
      <c r="AY408" s="276"/>
      <c r="AZ408" s="276"/>
      <c r="BA408" s="276"/>
      <c r="BB408" s="276"/>
      <c r="BC408" s="276"/>
      <c r="BD408" s="276"/>
      <c r="BE408" s="276"/>
      <c r="BF408" s="276"/>
      <c r="BG408" s="276"/>
      <c r="BH408" s="276"/>
      <c r="BI408" s="276"/>
      <c r="BJ408" s="276"/>
      <c r="BK408" s="276"/>
      <c r="BL408" s="276"/>
      <c r="BM408" s="276"/>
      <c r="BN408" s="276"/>
      <c r="BO408" s="276"/>
      <c r="BP408" s="276"/>
      <c r="BQ408" s="276"/>
      <c r="BR408" s="276"/>
      <c r="BS408" s="276"/>
      <c r="BT408" s="276"/>
      <c r="BU408" s="276"/>
      <c r="BV408" s="276"/>
      <c r="BW408" s="276"/>
      <c r="BX408" s="276"/>
      <c r="BY408" s="276"/>
      <c r="BZ408" s="276"/>
      <c r="CA408" s="276"/>
      <c r="CB408" s="276"/>
      <c r="CC408" s="276"/>
      <c r="CD408" s="276"/>
      <c r="CE408" s="276"/>
      <c r="CF408" s="276"/>
      <c r="CG408" s="276"/>
      <c r="CH408" s="276"/>
      <c r="CI408" s="276"/>
      <c r="CJ408" s="276"/>
      <c r="CK408" s="276"/>
      <c r="CL408" s="276"/>
      <c r="CM408" s="276"/>
      <c r="CN408" s="276"/>
      <c r="CO408" s="276"/>
      <c r="CP408" s="276"/>
      <c r="CQ408" s="276"/>
      <c r="CR408" s="276"/>
      <c r="CS408" s="276"/>
      <c r="CT408" s="276"/>
      <c r="CU408" s="276"/>
      <c r="CV408" s="276"/>
      <c r="CW408" s="276"/>
      <c r="CX408" s="276"/>
      <c r="CY408" s="276"/>
      <c r="CZ408" s="276"/>
      <c r="DA408" s="276"/>
      <c r="DB408" s="276"/>
      <c r="DC408" s="276"/>
      <c r="DD408" s="276"/>
      <c r="DE408" s="276"/>
      <c r="DF408" s="276"/>
      <c r="DG408" s="276"/>
      <c r="DH408" s="276"/>
      <c r="DI408" s="276"/>
      <c r="DJ408" s="276"/>
      <c r="DK408" s="276"/>
      <c r="DL408" s="276"/>
      <c r="DM408" s="276"/>
      <c r="DN408" s="276"/>
      <c r="DO408" s="276"/>
      <c r="DP408" s="276"/>
      <c r="DQ408" s="276"/>
      <c r="DR408" s="276"/>
      <c r="DS408" s="276"/>
      <c r="DT408" s="276"/>
      <c r="DU408" s="276"/>
      <c r="DV408" s="276"/>
      <c r="DW408" s="276"/>
      <c r="DX408" s="276"/>
      <c r="DY408" s="276"/>
      <c r="DZ408" s="276"/>
      <c r="EA408" s="276"/>
      <c r="EB408" s="276"/>
      <c r="EC408" s="276"/>
      <c r="ED408" s="276"/>
      <c r="EE408" s="276"/>
      <c r="EF408" s="276"/>
      <c r="EG408" s="276"/>
      <c r="EH408" s="276"/>
      <c r="EI408" s="276"/>
      <c r="EJ408" s="276"/>
      <c r="EK408" s="276"/>
      <c r="EL408" s="276"/>
      <c r="EM408" s="276"/>
      <c r="EN408" s="276"/>
      <c r="EO408" s="276"/>
      <c r="EP408" s="276"/>
      <c r="EQ408" s="276"/>
      <c r="ER408" s="276"/>
      <c r="ES408" s="276"/>
      <c r="ET408" s="276"/>
      <c r="EU408" s="276"/>
      <c r="EV408" s="276"/>
      <c r="EW408" s="276"/>
      <c r="EX408" s="276"/>
      <c r="EY408" s="276"/>
      <c r="EZ408" s="276"/>
      <c r="FA408" s="276"/>
      <c r="FB408" s="276"/>
      <c r="FC408" s="276"/>
      <c r="FD408" s="276"/>
      <c r="FE408" s="276"/>
      <c r="FF408" s="276"/>
      <c r="FG408" s="276"/>
      <c r="FH408" s="276"/>
      <c r="FI408" s="276"/>
      <c r="FJ408" s="276"/>
      <c r="FK408" s="276"/>
      <c r="FL408" s="276"/>
      <c r="FM408" s="276"/>
      <c r="FN408" s="276"/>
      <c r="FO408" s="276"/>
      <c r="FP408" s="276"/>
      <c r="FQ408" s="276"/>
      <c r="FR408" s="276"/>
      <c r="FS408" s="276"/>
      <c r="FT408" s="276"/>
      <c r="FU408" s="276"/>
      <c r="FV408" s="276"/>
      <c r="FW408" s="276"/>
      <c r="FX408" s="276"/>
      <c r="FY408" s="276"/>
      <c r="FZ408" s="276"/>
      <c r="GA408" s="276"/>
      <c r="GB408" s="276"/>
      <c r="GC408" s="276"/>
      <c r="GD408" s="276"/>
      <c r="GE408" s="276"/>
      <c r="GF408" s="276"/>
      <c r="GG408" s="276"/>
      <c r="GH408" s="276"/>
      <c r="GI408" s="276"/>
      <c r="GJ408" s="276"/>
      <c r="GK408" s="276"/>
      <c r="GL408" s="276"/>
      <c r="GM408" s="276"/>
      <c r="GN408" s="276"/>
      <c r="GO408" s="276"/>
      <c r="GP408" s="276"/>
      <c r="GQ408" s="276"/>
      <c r="GR408" s="276"/>
      <c r="GS408" s="276"/>
      <c r="GT408" s="276"/>
      <c r="GU408" s="276"/>
      <c r="GV408" s="276"/>
      <c r="GW408" s="276"/>
      <c r="GX408" s="276"/>
      <c r="GY408" s="276"/>
      <c r="GZ408" s="276"/>
      <c r="HA408" s="276"/>
      <c r="HB408" s="276"/>
      <c r="HC408" s="276"/>
      <c r="HD408" s="276"/>
      <c r="HE408" s="276"/>
      <c r="HF408" s="276"/>
      <c r="HG408" s="276"/>
      <c r="HH408" s="276"/>
      <c r="HI408" s="276"/>
      <c r="HJ408" s="276"/>
      <c r="HK408" s="276"/>
      <c r="HL408" s="276"/>
      <c r="HM408" s="276"/>
      <c r="HN408" s="276"/>
      <c r="HO408" s="276"/>
      <c r="HP408" s="276"/>
    </row>
    <row r="409" spans="2:224" s="30" customFormat="1" x14ac:dyDescent="0.5">
      <c r="B409" s="329">
        <v>5</v>
      </c>
      <c r="C409" s="32" t="s">
        <v>144</v>
      </c>
      <c r="D409" s="165"/>
      <c r="E409" s="29"/>
      <c r="F409" s="64"/>
      <c r="G409" s="328"/>
      <c r="H409" s="276"/>
      <c r="I409" s="336"/>
      <c r="J409" s="276"/>
      <c r="K409" s="323"/>
      <c r="L409" s="325"/>
      <c r="M409" s="276"/>
      <c r="N409" s="276"/>
      <c r="O409" s="276"/>
      <c r="P409" s="276"/>
      <c r="Q409" s="276"/>
      <c r="R409" s="276"/>
      <c r="S409" s="276"/>
      <c r="T409" s="276"/>
      <c r="U409" s="276"/>
      <c r="V409" s="276"/>
      <c r="W409" s="276"/>
      <c r="X409" s="276"/>
      <c r="Y409" s="276"/>
      <c r="Z409" s="276"/>
      <c r="AA409" s="276"/>
      <c r="AB409" s="276"/>
      <c r="AC409" s="276"/>
      <c r="AD409" s="276"/>
      <c r="AE409" s="276"/>
      <c r="AF409" s="276"/>
      <c r="AG409" s="276"/>
      <c r="AH409" s="276"/>
      <c r="AI409" s="276"/>
      <c r="AJ409" s="276"/>
      <c r="AK409" s="276"/>
      <c r="AL409" s="276"/>
      <c r="AM409" s="276"/>
      <c r="AN409" s="276"/>
      <c r="AO409" s="276"/>
      <c r="AP409" s="276"/>
      <c r="AQ409" s="276"/>
      <c r="AR409" s="276"/>
      <c r="AS409" s="276"/>
      <c r="AT409" s="276"/>
      <c r="AU409" s="276"/>
      <c r="AV409" s="276"/>
      <c r="AW409" s="276"/>
      <c r="AX409" s="276"/>
      <c r="AY409" s="276"/>
      <c r="AZ409" s="276"/>
      <c r="BA409" s="276"/>
      <c r="BB409" s="276"/>
      <c r="BC409" s="276"/>
      <c r="BD409" s="276"/>
      <c r="BE409" s="276"/>
      <c r="BF409" s="276"/>
      <c r="BG409" s="276"/>
      <c r="BH409" s="276"/>
      <c r="BI409" s="276"/>
      <c r="BJ409" s="276"/>
      <c r="BK409" s="276"/>
      <c r="BL409" s="276"/>
      <c r="BM409" s="276"/>
      <c r="BN409" s="276"/>
      <c r="BO409" s="276"/>
      <c r="BP409" s="276"/>
      <c r="BQ409" s="276"/>
      <c r="BR409" s="276"/>
      <c r="BS409" s="276"/>
      <c r="BT409" s="276"/>
      <c r="BU409" s="276"/>
      <c r="BV409" s="276"/>
      <c r="BW409" s="276"/>
      <c r="BX409" s="276"/>
      <c r="BY409" s="276"/>
      <c r="BZ409" s="276"/>
      <c r="CA409" s="276"/>
      <c r="CB409" s="276"/>
      <c r="CC409" s="276"/>
      <c r="CD409" s="276"/>
      <c r="CE409" s="276"/>
      <c r="CF409" s="276"/>
      <c r="CG409" s="276"/>
      <c r="CH409" s="276"/>
      <c r="CI409" s="276"/>
      <c r="CJ409" s="276"/>
      <c r="CK409" s="276"/>
      <c r="CL409" s="276"/>
      <c r="CM409" s="276"/>
      <c r="CN409" s="276"/>
      <c r="CO409" s="276"/>
      <c r="CP409" s="276"/>
      <c r="CQ409" s="276"/>
      <c r="CR409" s="276"/>
      <c r="CS409" s="276"/>
      <c r="CT409" s="276"/>
      <c r="CU409" s="276"/>
      <c r="CV409" s="276"/>
      <c r="CW409" s="276"/>
      <c r="CX409" s="276"/>
      <c r="CY409" s="276"/>
      <c r="CZ409" s="276"/>
      <c r="DA409" s="276"/>
      <c r="DB409" s="276"/>
      <c r="DC409" s="276"/>
      <c r="DD409" s="276"/>
      <c r="DE409" s="276"/>
      <c r="DF409" s="276"/>
      <c r="DG409" s="276"/>
      <c r="DH409" s="276"/>
      <c r="DI409" s="276"/>
      <c r="DJ409" s="276"/>
      <c r="DK409" s="276"/>
      <c r="DL409" s="276"/>
      <c r="DM409" s="276"/>
      <c r="DN409" s="276"/>
      <c r="DO409" s="276"/>
      <c r="DP409" s="276"/>
      <c r="DQ409" s="276"/>
      <c r="DR409" s="276"/>
      <c r="DS409" s="276"/>
      <c r="DT409" s="276"/>
      <c r="DU409" s="276"/>
      <c r="DV409" s="276"/>
      <c r="DW409" s="276"/>
      <c r="DX409" s="276"/>
      <c r="DY409" s="276"/>
      <c r="DZ409" s="276"/>
      <c r="EA409" s="276"/>
      <c r="EB409" s="276"/>
      <c r="EC409" s="276"/>
      <c r="ED409" s="276"/>
      <c r="EE409" s="276"/>
      <c r="EF409" s="276"/>
      <c r="EG409" s="276"/>
      <c r="EH409" s="276"/>
      <c r="EI409" s="276"/>
      <c r="EJ409" s="276"/>
      <c r="EK409" s="276"/>
      <c r="EL409" s="276"/>
      <c r="EM409" s="276"/>
      <c r="EN409" s="276"/>
      <c r="EO409" s="276"/>
      <c r="EP409" s="276"/>
      <c r="EQ409" s="276"/>
      <c r="ER409" s="276"/>
      <c r="ES409" s="276"/>
      <c r="ET409" s="276"/>
      <c r="EU409" s="276"/>
      <c r="EV409" s="276"/>
      <c r="EW409" s="276"/>
      <c r="EX409" s="276"/>
      <c r="EY409" s="276"/>
      <c r="EZ409" s="276"/>
      <c r="FA409" s="276"/>
      <c r="FB409" s="276"/>
      <c r="FC409" s="276"/>
      <c r="FD409" s="276"/>
      <c r="FE409" s="276"/>
      <c r="FF409" s="276"/>
      <c r="FG409" s="276"/>
      <c r="FH409" s="276"/>
      <c r="FI409" s="276"/>
      <c r="FJ409" s="276"/>
      <c r="FK409" s="276"/>
      <c r="FL409" s="276"/>
      <c r="FM409" s="276"/>
      <c r="FN409" s="276"/>
      <c r="FO409" s="276"/>
      <c r="FP409" s="276"/>
      <c r="FQ409" s="276"/>
      <c r="FR409" s="276"/>
      <c r="FS409" s="276"/>
      <c r="FT409" s="276"/>
      <c r="FU409" s="276"/>
      <c r="FV409" s="276"/>
      <c r="FW409" s="276"/>
      <c r="FX409" s="276"/>
      <c r="FY409" s="276"/>
      <c r="FZ409" s="276"/>
      <c r="GA409" s="276"/>
      <c r="GB409" s="276"/>
      <c r="GC409" s="276"/>
      <c r="GD409" s="276"/>
      <c r="GE409" s="276"/>
      <c r="GF409" s="276"/>
      <c r="GG409" s="276"/>
      <c r="GH409" s="276"/>
      <c r="GI409" s="276"/>
      <c r="GJ409" s="276"/>
      <c r="GK409" s="276"/>
      <c r="GL409" s="276"/>
      <c r="GM409" s="276"/>
      <c r="GN409" s="276"/>
      <c r="GO409" s="276"/>
      <c r="GP409" s="276"/>
      <c r="GQ409" s="276"/>
      <c r="GR409" s="276"/>
      <c r="GS409" s="276"/>
      <c r="GT409" s="276"/>
      <c r="GU409" s="276"/>
      <c r="GV409" s="276"/>
      <c r="GW409" s="276"/>
      <c r="GX409" s="276"/>
      <c r="GY409" s="276"/>
      <c r="GZ409" s="276"/>
      <c r="HA409" s="276"/>
      <c r="HB409" s="276"/>
      <c r="HC409" s="276"/>
      <c r="HD409" s="276"/>
      <c r="HE409" s="276"/>
      <c r="HF409" s="276"/>
      <c r="HG409" s="276"/>
      <c r="HH409" s="276"/>
      <c r="HI409" s="276"/>
      <c r="HJ409" s="276"/>
      <c r="HK409" s="276"/>
      <c r="HL409" s="276"/>
      <c r="HM409" s="276"/>
      <c r="HN409" s="276"/>
      <c r="HO409" s="276"/>
      <c r="HP409" s="276"/>
    </row>
    <row r="410" spans="2:224" s="30" customFormat="1" x14ac:dyDescent="0.5">
      <c r="B410" s="329">
        <v>6</v>
      </c>
      <c r="C410" s="32" t="s">
        <v>145</v>
      </c>
      <c r="D410" s="165"/>
      <c r="E410" s="29"/>
      <c r="F410" s="64"/>
      <c r="G410" s="328"/>
      <c r="H410" s="276"/>
      <c r="I410" s="336"/>
      <c r="J410" s="276"/>
      <c r="K410" s="323"/>
      <c r="L410" s="325"/>
      <c r="M410" s="276"/>
      <c r="N410" s="276"/>
      <c r="O410" s="276"/>
      <c r="P410" s="276"/>
      <c r="Q410" s="276"/>
      <c r="R410" s="276"/>
      <c r="S410" s="276"/>
      <c r="T410" s="276"/>
      <c r="U410" s="276"/>
      <c r="V410" s="276"/>
      <c r="W410" s="276"/>
      <c r="X410" s="276"/>
      <c r="Y410" s="276"/>
      <c r="Z410" s="276"/>
      <c r="AA410" s="276"/>
      <c r="AB410" s="276"/>
      <c r="AC410" s="276"/>
      <c r="AD410" s="276"/>
      <c r="AE410" s="276"/>
      <c r="AF410" s="276"/>
      <c r="AG410" s="276"/>
      <c r="AH410" s="276"/>
      <c r="AI410" s="276"/>
      <c r="AJ410" s="276"/>
      <c r="AK410" s="276"/>
      <c r="AL410" s="276"/>
      <c r="AM410" s="276"/>
      <c r="AN410" s="276"/>
      <c r="AO410" s="276"/>
      <c r="AP410" s="276"/>
      <c r="AQ410" s="276"/>
      <c r="AR410" s="276"/>
      <c r="AS410" s="276"/>
      <c r="AT410" s="276"/>
      <c r="AU410" s="276"/>
      <c r="AV410" s="276"/>
      <c r="AW410" s="276"/>
      <c r="AX410" s="276"/>
      <c r="AY410" s="276"/>
      <c r="AZ410" s="276"/>
      <c r="BA410" s="276"/>
      <c r="BB410" s="276"/>
      <c r="BC410" s="276"/>
      <c r="BD410" s="276"/>
      <c r="BE410" s="276"/>
      <c r="BF410" s="276"/>
      <c r="BG410" s="276"/>
      <c r="BH410" s="276"/>
      <c r="BI410" s="276"/>
      <c r="BJ410" s="276"/>
      <c r="BK410" s="276"/>
      <c r="BL410" s="276"/>
      <c r="BM410" s="276"/>
      <c r="BN410" s="276"/>
      <c r="BO410" s="276"/>
      <c r="BP410" s="276"/>
      <c r="BQ410" s="276"/>
      <c r="BR410" s="276"/>
      <c r="BS410" s="276"/>
      <c r="BT410" s="276"/>
      <c r="BU410" s="276"/>
      <c r="BV410" s="276"/>
      <c r="BW410" s="276"/>
      <c r="BX410" s="276"/>
      <c r="BY410" s="276"/>
      <c r="BZ410" s="276"/>
      <c r="CA410" s="276"/>
      <c r="CB410" s="276"/>
      <c r="CC410" s="276"/>
      <c r="CD410" s="276"/>
      <c r="CE410" s="276"/>
      <c r="CF410" s="276"/>
      <c r="CG410" s="276"/>
      <c r="CH410" s="276"/>
      <c r="CI410" s="276"/>
      <c r="CJ410" s="276"/>
      <c r="CK410" s="276"/>
      <c r="CL410" s="276"/>
      <c r="CM410" s="276"/>
      <c r="CN410" s="276"/>
      <c r="CO410" s="276"/>
      <c r="CP410" s="276"/>
      <c r="CQ410" s="276"/>
      <c r="CR410" s="276"/>
      <c r="CS410" s="276"/>
      <c r="CT410" s="276"/>
      <c r="CU410" s="276"/>
      <c r="CV410" s="276"/>
      <c r="CW410" s="276"/>
      <c r="CX410" s="276"/>
      <c r="CY410" s="276"/>
      <c r="CZ410" s="276"/>
      <c r="DA410" s="276"/>
      <c r="DB410" s="276"/>
      <c r="DC410" s="276"/>
      <c r="DD410" s="276"/>
      <c r="DE410" s="276"/>
      <c r="DF410" s="276"/>
      <c r="DG410" s="276"/>
      <c r="DH410" s="276"/>
      <c r="DI410" s="276"/>
      <c r="DJ410" s="276"/>
      <c r="DK410" s="276"/>
      <c r="DL410" s="276"/>
      <c r="DM410" s="276"/>
      <c r="DN410" s="276"/>
      <c r="DO410" s="276"/>
      <c r="DP410" s="276"/>
      <c r="DQ410" s="276"/>
      <c r="DR410" s="276"/>
      <c r="DS410" s="276"/>
      <c r="DT410" s="276"/>
      <c r="DU410" s="276"/>
      <c r="DV410" s="276"/>
      <c r="DW410" s="276"/>
      <c r="DX410" s="276"/>
      <c r="DY410" s="276"/>
      <c r="DZ410" s="276"/>
      <c r="EA410" s="276"/>
      <c r="EB410" s="276"/>
      <c r="EC410" s="276"/>
      <c r="ED410" s="276"/>
      <c r="EE410" s="276"/>
      <c r="EF410" s="276"/>
      <c r="EG410" s="276"/>
      <c r="EH410" s="276"/>
      <c r="EI410" s="276"/>
      <c r="EJ410" s="276"/>
      <c r="EK410" s="276"/>
      <c r="EL410" s="276"/>
      <c r="EM410" s="276"/>
      <c r="EN410" s="276"/>
      <c r="EO410" s="276"/>
      <c r="EP410" s="276"/>
      <c r="EQ410" s="276"/>
      <c r="ER410" s="276"/>
      <c r="ES410" s="276"/>
      <c r="ET410" s="276"/>
      <c r="EU410" s="276"/>
      <c r="EV410" s="276"/>
      <c r="EW410" s="276"/>
      <c r="EX410" s="276"/>
      <c r="EY410" s="276"/>
      <c r="EZ410" s="276"/>
      <c r="FA410" s="276"/>
      <c r="FB410" s="276"/>
      <c r="FC410" s="276"/>
      <c r="FD410" s="276"/>
      <c r="FE410" s="276"/>
      <c r="FF410" s="276"/>
      <c r="FG410" s="276"/>
      <c r="FH410" s="276"/>
      <c r="FI410" s="276"/>
      <c r="FJ410" s="276"/>
      <c r="FK410" s="276"/>
      <c r="FL410" s="276"/>
      <c r="FM410" s="276"/>
      <c r="FN410" s="276"/>
      <c r="FO410" s="276"/>
      <c r="FP410" s="276"/>
      <c r="FQ410" s="276"/>
      <c r="FR410" s="276"/>
      <c r="FS410" s="276"/>
      <c r="FT410" s="276"/>
      <c r="FU410" s="276"/>
      <c r="FV410" s="276"/>
      <c r="FW410" s="276"/>
      <c r="FX410" s="276"/>
      <c r="FY410" s="276"/>
      <c r="FZ410" s="276"/>
      <c r="GA410" s="276"/>
      <c r="GB410" s="276"/>
      <c r="GC410" s="276"/>
      <c r="GD410" s="276"/>
      <c r="GE410" s="276"/>
      <c r="GF410" s="276"/>
      <c r="GG410" s="276"/>
      <c r="GH410" s="276"/>
      <c r="GI410" s="276"/>
      <c r="GJ410" s="276"/>
      <c r="GK410" s="276"/>
      <c r="GL410" s="276"/>
      <c r="GM410" s="276"/>
      <c r="GN410" s="276"/>
      <c r="GO410" s="276"/>
      <c r="GP410" s="276"/>
      <c r="GQ410" s="276"/>
      <c r="GR410" s="276"/>
      <c r="GS410" s="276"/>
      <c r="GT410" s="276"/>
      <c r="GU410" s="276"/>
      <c r="GV410" s="276"/>
      <c r="GW410" s="276"/>
      <c r="GX410" s="276"/>
      <c r="GY410" s="276"/>
      <c r="GZ410" s="276"/>
      <c r="HA410" s="276"/>
      <c r="HB410" s="276"/>
      <c r="HC410" s="276"/>
      <c r="HD410" s="276"/>
      <c r="HE410" s="276"/>
      <c r="HF410" s="276"/>
      <c r="HG410" s="276"/>
      <c r="HH410" s="276"/>
      <c r="HI410" s="276"/>
      <c r="HJ410" s="276"/>
      <c r="HK410" s="276"/>
      <c r="HL410" s="276"/>
      <c r="HM410" s="276"/>
      <c r="HN410" s="276"/>
      <c r="HO410" s="276"/>
      <c r="HP410" s="276"/>
    </row>
    <row r="411" spans="2:224" s="30" customFormat="1" x14ac:dyDescent="0.5">
      <c r="B411" s="329">
        <v>7</v>
      </c>
      <c r="C411" s="32" t="s">
        <v>146</v>
      </c>
      <c r="D411" s="165"/>
      <c r="E411" s="29"/>
      <c r="F411" s="64"/>
      <c r="G411" s="328"/>
      <c r="H411" s="276"/>
      <c r="I411" s="336"/>
      <c r="J411" s="276"/>
      <c r="K411" s="323"/>
      <c r="L411" s="325"/>
      <c r="M411" s="276"/>
      <c r="N411" s="276"/>
      <c r="O411" s="276"/>
      <c r="P411" s="276"/>
      <c r="Q411" s="276"/>
      <c r="R411" s="276"/>
      <c r="S411" s="276"/>
      <c r="T411" s="276"/>
      <c r="U411" s="276"/>
      <c r="V411" s="276"/>
      <c r="W411" s="276"/>
      <c r="X411" s="276"/>
      <c r="Y411" s="276"/>
      <c r="Z411" s="276"/>
      <c r="AA411" s="276"/>
      <c r="AB411" s="276"/>
      <c r="AC411" s="276"/>
      <c r="AD411" s="276"/>
      <c r="AE411" s="276"/>
      <c r="AF411" s="276"/>
      <c r="AG411" s="276"/>
      <c r="AH411" s="276"/>
      <c r="AI411" s="276"/>
      <c r="AJ411" s="276"/>
      <c r="AK411" s="276"/>
      <c r="AL411" s="276"/>
      <c r="AM411" s="276"/>
      <c r="AN411" s="276"/>
      <c r="AO411" s="276"/>
      <c r="AP411" s="276"/>
      <c r="AQ411" s="276"/>
      <c r="AR411" s="276"/>
      <c r="AS411" s="276"/>
      <c r="AT411" s="276"/>
      <c r="AU411" s="276"/>
      <c r="AV411" s="276"/>
      <c r="AW411" s="276"/>
      <c r="AX411" s="276"/>
      <c r="AY411" s="276"/>
      <c r="AZ411" s="276"/>
      <c r="BA411" s="276"/>
      <c r="BB411" s="276"/>
      <c r="BC411" s="276"/>
      <c r="BD411" s="276"/>
      <c r="BE411" s="276"/>
      <c r="BF411" s="276"/>
      <c r="BG411" s="276"/>
      <c r="BH411" s="276"/>
      <c r="BI411" s="276"/>
      <c r="BJ411" s="276"/>
      <c r="BK411" s="276"/>
      <c r="BL411" s="276"/>
      <c r="BM411" s="276"/>
      <c r="BN411" s="276"/>
      <c r="BO411" s="276"/>
      <c r="BP411" s="276"/>
      <c r="BQ411" s="276"/>
      <c r="BR411" s="276"/>
      <c r="BS411" s="276"/>
      <c r="BT411" s="276"/>
      <c r="BU411" s="276"/>
      <c r="BV411" s="276"/>
      <c r="BW411" s="276"/>
      <c r="BX411" s="276"/>
      <c r="BY411" s="276"/>
      <c r="BZ411" s="276"/>
      <c r="CA411" s="276"/>
      <c r="CB411" s="276"/>
      <c r="CC411" s="276"/>
      <c r="CD411" s="276"/>
      <c r="CE411" s="276"/>
      <c r="CF411" s="276"/>
      <c r="CG411" s="276"/>
      <c r="CH411" s="276"/>
      <c r="CI411" s="276"/>
      <c r="CJ411" s="276"/>
      <c r="CK411" s="276"/>
      <c r="CL411" s="276"/>
      <c r="CM411" s="276"/>
      <c r="CN411" s="276"/>
      <c r="CO411" s="276"/>
      <c r="CP411" s="276"/>
      <c r="CQ411" s="276"/>
      <c r="CR411" s="276"/>
      <c r="CS411" s="276"/>
      <c r="CT411" s="276"/>
      <c r="CU411" s="276"/>
      <c r="CV411" s="276"/>
      <c r="CW411" s="276"/>
      <c r="CX411" s="276"/>
      <c r="CY411" s="276"/>
      <c r="CZ411" s="276"/>
      <c r="DA411" s="276"/>
      <c r="DB411" s="276"/>
      <c r="DC411" s="276"/>
      <c r="DD411" s="276"/>
      <c r="DE411" s="276"/>
      <c r="DF411" s="276"/>
      <c r="DG411" s="276"/>
      <c r="DH411" s="276"/>
      <c r="DI411" s="276"/>
      <c r="DJ411" s="276"/>
      <c r="DK411" s="276"/>
      <c r="DL411" s="276"/>
      <c r="DM411" s="276"/>
      <c r="DN411" s="276"/>
      <c r="DO411" s="276"/>
      <c r="DP411" s="276"/>
      <c r="DQ411" s="276"/>
      <c r="DR411" s="276"/>
      <c r="DS411" s="276"/>
      <c r="DT411" s="276"/>
      <c r="DU411" s="276"/>
      <c r="DV411" s="276"/>
      <c r="DW411" s="276"/>
      <c r="DX411" s="276"/>
      <c r="DY411" s="276"/>
      <c r="DZ411" s="276"/>
      <c r="EA411" s="276"/>
      <c r="EB411" s="276"/>
      <c r="EC411" s="276"/>
      <c r="ED411" s="276"/>
      <c r="EE411" s="276"/>
      <c r="EF411" s="276"/>
      <c r="EG411" s="276"/>
      <c r="EH411" s="276"/>
      <c r="EI411" s="276"/>
      <c r="EJ411" s="276"/>
      <c r="EK411" s="276"/>
      <c r="EL411" s="276"/>
      <c r="EM411" s="276"/>
      <c r="EN411" s="276"/>
      <c r="EO411" s="276"/>
      <c r="EP411" s="276"/>
      <c r="EQ411" s="276"/>
      <c r="ER411" s="276"/>
      <c r="ES411" s="276"/>
      <c r="ET411" s="276"/>
      <c r="EU411" s="276"/>
      <c r="EV411" s="276"/>
      <c r="EW411" s="276"/>
      <c r="EX411" s="276"/>
      <c r="EY411" s="276"/>
      <c r="EZ411" s="276"/>
      <c r="FA411" s="276"/>
      <c r="FB411" s="276"/>
      <c r="FC411" s="276"/>
      <c r="FD411" s="276"/>
      <c r="FE411" s="276"/>
      <c r="FF411" s="276"/>
      <c r="FG411" s="276"/>
      <c r="FH411" s="276"/>
      <c r="FI411" s="276"/>
      <c r="FJ411" s="276"/>
      <c r="FK411" s="276"/>
      <c r="FL411" s="276"/>
      <c r="FM411" s="276"/>
      <c r="FN411" s="276"/>
      <c r="FO411" s="276"/>
      <c r="FP411" s="276"/>
      <c r="FQ411" s="276"/>
      <c r="FR411" s="276"/>
      <c r="FS411" s="276"/>
      <c r="FT411" s="276"/>
      <c r="FU411" s="276"/>
      <c r="FV411" s="276"/>
      <c r="FW411" s="276"/>
      <c r="FX411" s="276"/>
      <c r="FY411" s="276"/>
      <c r="FZ411" s="276"/>
      <c r="GA411" s="276"/>
      <c r="GB411" s="276"/>
      <c r="GC411" s="276"/>
      <c r="GD411" s="276"/>
      <c r="GE411" s="276"/>
      <c r="GF411" s="276"/>
      <c r="GG411" s="276"/>
      <c r="GH411" s="276"/>
      <c r="GI411" s="276"/>
      <c r="GJ411" s="276"/>
      <c r="GK411" s="276"/>
      <c r="GL411" s="276"/>
      <c r="GM411" s="276"/>
      <c r="GN411" s="276"/>
      <c r="GO411" s="276"/>
      <c r="GP411" s="276"/>
      <c r="GQ411" s="276"/>
      <c r="GR411" s="276"/>
      <c r="GS411" s="276"/>
      <c r="GT411" s="276"/>
      <c r="GU411" s="276"/>
      <c r="GV411" s="276"/>
      <c r="GW411" s="276"/>
      <c r="GX411" s="276"/>
      <c r="GY411" s="276"/>
      <c r="GZ411" s="276"/>
      <c r="HA411" s="276"/>
      <c r="HB411" s="276"/>
      <c r="HC411" s="276"/>
      <c r="HD411" s="276"/>
      <c r="HE411" s="276"/>
      <c r="HF411" s="276"/>
      <c r="HG411" s="276"/>
      <c r="HH411" s="276"/>
      <c r="HI411" s="276"/>
      <c r="HJ411" s="276"/>
      <c r="HK411" s="276"/>
      <c r="HL411" s="276"/>
      <c r="HM411" s="276"/>
      <c r="HN411" s="276"/>
      <c r="HO411" s="276"/>
      <c r="HP411" s="276"/>
    </row>
    <row r="412" spans="2:224" s="30" customFormat="1" x14ac:dyDescent="0.5">
      <c r="B412" s="329">
        <v>8</v>
      </c>
      <c r="C412" s="32" t="s">
        <v>147</v>
      </c>
      <c r="D412" s="165"/>
      <c r="E412" s="29"/>
      <c r="F412" s="64"/>
      <c r="G412" s="328"/>
      <c r="H412" s="276"/>
      <c r="I412" s="336"/>
      <c r="J412" s="276"/>
      <c r="K412" s="323"/>
      <c r="L412" s="325"/>
      <c r="M412" s="276"/>
      <c r="N412" s="276"/>
      <c r="O412" s="276"/>
      <c r="P412" s="276"/>
      <c r="Q412" s="276"/>
      <c r="R412" s="276"/>
      <c r="S412" s="276"/>
      <c r="T412" s="276"/>
      <c r="U412" s="276"/>
      <c r="V412" s="276"/>
      <c r="W412" s="276"/>
      <c r="X412" s="276"/>
      <c r="Y412" s="276"/>
      <c r="Z412" s="276"/>
      <c r="AA412" s="276"/>
      <c r="AB412" s="276"/>
      <c r="AC412" s="276"/>
      <c r="AD412" s="276"/>
      <c r="AE412" s="276"/>
      <c r="AF412" s="276"/>
      <c r="AG412" s="276"/>
      <c r="AH412" s="276"/>
      <c r="AI412" s="276"/>
      <c r="AJ412" s="276"/>
      <c r="AK412" s="276"/>
      <c r="AL412" s="276"/>
      <c r="AM412" s="276"/>
      <c r="AN412" s="276"/>
      <c r="AO412" s="276"/>
      <c r="AP412" s="276"/>
      <c r="AQ412" s="276"/>
      <c r="AR412" s="276"/>
      <c r="AS412" s="276"/>
      <c r="AT412" s="276"/>
      <c r="AU412" s="276"/>
      <c r="AV412" s="276"/>
      <c r="AW412" s="276"/>
      <c r="AX412" s="276"/>
      <c r="AY412" s="276"/>
      <c r="AZ412" s="276"/>
      <c r="BA412" s="276"/>
      <c r="BB412" s="276"/>
      <c r="BC412" s="276"/>
      <c r="BD412" s="276"/>
      <c r="BE412" s="276"/>
      <c r="BF412" s="276"/>
      <c r="BG412" s="276"/>
      <c r="BH412" s="276"/>
      <c r="BI412" s="276"/>
      <c r="BJ412" s="276"/>
      <c r="BK412" s="276"/>
      <c r="BL412" s="276"/>
      <c r="BM412" s="276"/>
      <c r="BN412" s="276"/>
      <c r="BO412" s="276"/>
      <c r="BP412" s="276"/>
      <c r="BQ412" s="276"/>
      <c r="BR412" s="276"/>
      <c r="BS412" s="276"/>
      <c r="BT412" s="276"/>
      <c r="BU412" s="276"/>
      <c r="BV412" s="276"/>
      <c r="BW412" s="276"/>
      <c r="BX412" s="276"/>
      <c r="BY412" s="276"/>
      <c r="BZ412" s="276"/>
      <c r="CA412" s="276"/>
      <c r="CB412" s="276"/>
      <c r="CC412" s="276"/>
      <c r="CD412" s="276"/>
      <c r="CE412" s="276"/>
      <c r="CF412" s="276"/>
      <c r="CG412" s="276"/>
      <c r="CH412" s="276"/>
      <c r="CI412" s="276"/>
      <c r="CJ412" s="276"/>
      <c r="CK412" s="276"/>
      <c r="CL412" s="276"/>
      <c r="CM412" s="276"/>
      <c r="CN412" s="276"/>
      <c r="CO412" s="276"/>
      <c r="CP412" s="276"/>
      <c r="CQ412" s="276"/>
      <c r="CR412" s="276"/>
      <c r="CS412" s="276"/>
      <c r="CT412" s="276"/>
      <c r="CU412" s="276"/>
      <c r="CV412" s="276"/>
      <c r="CW412" s="276"/>
      <c r="CX412" s="276"/>
      <c r="CY412" s="276"/>
      <c r="CZ412" s="276"/>
      <c r="DA412" s="276"/>
      <c r="DB412" s="276"/>
      <c r="DC412" s="276"/>
      <c r="DD412" s="276"/>
      <c r="DE412" s="276"/>
      <c r="DF412" s="276"/>
      <c r="DG412" s="276"/>
      <c r="DH412" s="276"/>
      <c r="DI412" s="276"/>
      <c r="DJ412" s="276"/>
      <c r="DK412" s="276"/>
      <c r="DL412" s="276"/>
      <c r="DM412" s="276"/>
      <c r="DN412" s="276"/>
      <c r="DO412" s="276"/>
      <c r="DP412" s="276"/>
      <c r="DQ412" s="276"/>
      <c r="DR412" s="276"/>
      <c r="DS412" s="276"/>
      <c r="DT412" s="276"/>
      <c r="DU412" s="276"/>
      <c r="DV412" s="276"/>
      <c r="DW412" s="276"/>
      <c r="DX412" s="276"/>
      <c r="DY412" s="276"/>
      <c r="DZ412" s="276"/>
      <c r="EA412" s="276"/>
      <c r="EB412" s="276"/>
      <c r="EC412" s="276"/>
      <c r="ED412" s="276"/>
      <c r="EE412" s="276"/>
      <c r="EF412" s="276"/>
      <c r="EG412" s="276"/>
      <c r="EH412" s="276"/>
      <c r="EI412" s="276"/>
      <c r="EJ412" s="276"/>
      <c r="EK412" s="276"/>
      <c r="EL412" s="276"/>
      <c r="EM412" s="276"/>
      <c r="EN412" s="276"/>
      <c r="EO412" s="276"/>
      <c r="EP412" s="276"/>
      <c r="EQ412" s="276"/>
      <c r="ER412" s="276"/>
      <c r="ES412" s="276"/>
      <c r="ET412" s="276"/>
      <c r="EU412" s="276"/>
      <c r="EV412" s="276"/>
      <c r="EW412" s="276"/>
      <c r="EX412" s="276"/>
      <c r="EY412" s="276"/>
      <c r="EZ412" s="276"/>
      <c r="FA412" s="276"/>
      <c r="FB412" s="276"/>
      <c r="FC412" s="276"/>
      <c r="FD412" s="276"/>
      <c r="FE412" s="276"/>
      <c r="FF412" s="276"/>
      <c r="FG412" s="276"/>
      <c r="FH412" s="276"/>
      <c r="FI412" s="276"/>
      <c r="FJ412" s="276"/>
      <c r="FK412" s="276"/>
      <c r="FL412" s="276"/>
      <c r="FM412" s="276"/>
      <c r="FN412" s="276"/>
      <c r="FO412" s="276"/>
      <c r="FP412" s="276"/>
      <c r="FQ412" s="276"/>
      <c r="FR412" s="276"/>
      <c r="FS412" s="276"/>
      <c r="FT412" s="276"/>
      <c r="FU412" s="276"/>
      <c r="FV412" s="276"/>
      <c r="FW412" s="276"/>
      <c r="FX412" s="276"/>
      <c r="FY412" s="276"/>
      <c r="FZ412" s="276"/>
      <c r="GA412" s="276"/>
      <c r="GB412" s="276"/>
      <c r="GC412" s="276"/>
      <c r="GD412" s="276"/>
      <c r="GE412" s="276"/>
      <c r="GF412" s="276"/>
      <c r="GG412" s="276"/>
      <c r="GH412" s="276"/>
      <c r="GI412" s="276"/>
      <c r="GJ412" s="276"/>
      <c r="GK412" s="276"/>
      <c r="GL412" s="276"/>
      <c r="GM412" s="276"/>
      <c r="GN412" s="276"/>
      <c r="GO412" s="276"/>
      <c r="GP412" s="276"/>
      <c r="GQ412" s="276"/>
      <c r="GR412" s="276"/>
      <c r="GS412" s="276"/>
      <c r="GT412" s="276"/>
      <c r="GU412" s="276"/>
      <c r="GV412" s="276"/>
      <c r="GW412" s="276"/>
      <c r="GX412" s="276"/>
      <c r="GY412" s="276"/>
      <c r="GZ412" s="276"/>
      <c r="HA412" s="276"/>
      <c r="HB412" s="276"/>
      <c r="HC412" s="276"/>
      <c r="HD412" s="276"/>
      <c r="HE412" s="276"/>
      <c r="HF412" s="276"/>
      <c r="HG412" s="276"/>
      <c r="HH412" s="276"/>
      <c r="HI412" s="276"/>
      <c r="HJ412" s="276"/>
      <c r="HK412" s="276"/>
      <c r="HL412" s="276"/>
      <c r="HM412" s="276"/>
      <c r="HN412" s="276"/>
      <c r="HO412" s="276"/>
      <c r="HP412" s="276"/>
    </row>
    <row r="413" spans="2:224" ht="15.4" x14ac:dyDescent="0.45">
      <c r="B413" s="327" t="s">
        <v>148</v>
      </c>
      <c r="C413" s="67" t="s">
        <v>149</v>
      </c>
      <c r="D413" s="165"/>
      <c r="G413" s="328"/>
      <c r="H413" s="32"/>
      <c r="I413" s="334"/>
      <c r="J413" s="32"/>
      <c r="L413" s="165"/>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c r="CK413" s="32"/>
      <c r="CL413" s="32"/>
      <c r="CM413" s="32"/>
      <c r="CN413" s="32"/>
      <c r="CO413" s="32"/>
      <c r="CP413" s="32"/>
      <c r="CQ413" s="32"/>
      <c r="CR413" s="32"/>
      <c r="CS413" s="32"/>
      <c r="CT413" s="32"/>
      <c r="CU413" s="32"/>
      <c r="CV413" s="32"/>
      <c r="CW413" s="32"/>
      <c r="CX413" s="32"/>
      <c r="CY413" s="32"/>
      <c r="CZ413" s="32"/>
      <c r="DA413" s="32"/>
      <c r="DB413" s="32"/>
      <c r="DC413" s="32"/>
      <c r="DD413" s="32"/>
      <c r="DE413" s="32"/>
      <c r="DF413" s="32"/>
      <c r="DG413" s="32"/>
      <c r="DH413" s="32"/>
      <c r="DI413" s="32"/>
      <c r="DJ413" s="32"/>
      <c r="DK413" s="32"/>
      <c r="DL413" s="32"/>
      <c r="DM413" s="32"/>
      <c r="DN413" s="32"/>
      <c r="DO413" s="32"/>
      <c r="DP413" s="32"/>
      <c r="DQ413" s="32"/>
      <c r="DR413" s="32"/>
      <c r="DS413" s="32"/>
      <c r="DT413" s="32"/>
      <c r="DU413" s="32"/>
      <c r="DV413" s="32"/>
      <c r="DW413" s="32"/>
      <c r="DX413" s="32"/>
      <c r="DY413" s="32"/>
      <c r="DZ413" s="32"/>
      <c r="EA413" s="32"/>
      <c r="EB413" s="32"/>
      <c r="EC413" s="32"/>
      <c r="ED413" s="32"/>
      <c r="EE413" s="32"/>
      <c r="EF413" s="32"/>
      <c r="EG413" s="32"/>
      <c r="EH413" s="32"/>
      <c r="EI413" s="32"/>
      <c r="EJ413" s="32"/>
      <c r="EK413" s="32"/>
      <c r="EL413" s="32"/>
      <c r="EM413" s="32"/>
      <c r="EN413" s="32"/>
      <c r="EO413" s="32"/>
      <c r="EP413" s="32"/>
      <c r="EQ413" s="32"/>
      <c r="ER413" s="32"/>
      <c r="ES413" s="32"/>
      <c r="ET413" s="32"/>
      <c r="EU413" s="32"/>
      <c r="EV413" s="32"/>
      <c r="EW413" s="32"/>
      <c r="EX413" s="32"/>
      <c r="EY413" s="32"/>
      <c r="EZ413" s="32"/>
      <c r="FA413" s="32"/>
      <c r="FB413" s="32"/>
      <c r="FC413" s="32"/>
      <c r="FD413" s="32"/>
      <c r="FE413" s="32"/>
      <c r="FF413" s="32"/>
      <c r="FG413" s="32"/>
      <c r="FH413" s="32"/>
      <c r="FI413" s="32"/>
      <c r="FJ413" s="32"/>
      <c r="FK413" s="32"/>
      <c r="FL413" s="32"/>
      <c r="FM413" s="32"/>
      <c r="FN413" s="32"/>
      <c r="FO413" s="32"/>
      <c r="FP413" s="32"/>
      <c r="FQ413" s="32"/>
      <c r="FR413" s="32"/>
      <c r="FS413" s="32"/>
      <c r="FT413" s="32"/>
      <c r="FU413" s="32"/>
      <c r="FV413" s="32"/>
      <c r="FW413" s="32"/>
      <c r="FX413" s="32"/>
      <c r="FY413" s="32"/>
      <c r="FZ413" s="32"/>
      <c r="GA413" s="32"/>
      <c r="GB413" s="32"/>
      <c r="GC413" s="32"/>
      <c r="GD413" s="32"/>
      <c r="GE413" s="32"/>
      <c r="GF413" s="32"/>
      <c r="GG413" s="32"/>
      <c r="GH413" s="32"/>
      <c r="GI413" s="32"/>
      <c r="GJ413" s="32"/>
      <c r="GK413" s="32"/>
      <c r="GL413" s="32"/>
      <c r="GM413" s="32"/>
      <c r="GN413" s="32"/>
      <c r="GO413" s="32"/>
      <c r="GP413" s="32"/>
      <c r="GQ413" s="32"/>
      <c r="GR413" s="32"/>
      <c r="GS413" s="32"/>
      <c r="GT413" s="32"/>
      <c r="GU413" s="32"/>
      <c r="GV413" s="32"/>
      <c r="GW413" s="32"/>
      <c r="GX413" s="32"/>
      <c r="GY413" s="32"/>
      <c r="GZ413" s="32"/>
      <c r="HA413" s="32"/>
      <c r="HB413" s="32"/>
      <c r="HC413" s="32"/>
      <c r="HD413" s="32"/>
      <c r="HE413" s="32"/>
      <c r="HF413" s="32"/>
      <c r="HG413" s="32"/>
      <c r="HH413" s="32"/>
      <c r="HI413" s="32"/>
      <c r="HJ413" s="32"/>
      <c r="HK413" s="32"/>
      <c r="HL413" s="32"/>
      <c r="HM413" s="32"/>
      <c r="HN413" s="32"/>
      <c r="HO413" s="32"/>
      <c r="HP413" s="32"/>
    </row>
    <row r="414" spans="2:224" ht="15.75" thickBot="1" x14ac:dyDescent="0.5">
      <c r="B414" s="330"/>
      <c r="C414" s="331"/>
      <c r="D414" s="183"/>
      <c r="E414" s="183"/>
      <c r="F414" s="184"/>
      <c r="G414" s="332"/>
      <c r="H414" s="32"/>
      <c r="I414" s="334"/>
      <c r="J414" s="32"/>
      <c r="L414" s="165"/>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c r="CK414" s="32"/>
      <c r="CL414" s="32"/>
      <c r="CM414" s="32"/>
      <c r="CN414" s="32"/>
      <c r="CO414" s="32"/>
      <c r="CP414" s="32"/>
      <c r="CQ414" s="32"/>
      <c r="CR414" s="32"/>
      <c r="CS414" s="32"/>
      <c r="CT414" s="32"/>
      <c r="CU414" s="32"/>
      <c r="CV414" s="32"/>
      <c r="CW414" s="32"/>
      <c r="CX414" s="32"/>
      <c r="CY414" s="32"/>
      <c r="CZ414" s="32"/>
      <c r="DA414" s="32"/>
      <c r="DB414" s="32"/>
      <c r="DC414" s="32"/>
      <c r="DD414" s="32"/>
      <c r="DE414" s="32"/>
      <c r="DF414" s="32"/>
      <c r="DG414" s="32"/>
      <c r="DH414" s="32"/>
      <c r="DI414" s="32"/>
      <c r="DJ414" s="32"/>
      <c r="DK414" s="32"/>
      <c r="DL414" s="32"/>
      <c r="DM414" s="32"/>
      <c r="DN414" s="32"/>
      <c r="DO414" s="32"/>
      <c r="DP414" s="32"/>
      <c r="DQ414" s="32"/>
      <c r="DR414" s="32"/>
      <c r="DS414" s="32"/>
      <c r="DT414" s="32"/>
      <c r="DU414" s="32"/>
      <c r="DV414" s="32"/>
      <c r="DW414" s="32"/>
      <c r="DX414" s="32"/>
      <c r="DY414" s="32"/>
      <c r="DZ414" s="32"/>
      <c r="EA414" s="32"/>
      <c r="EB414" s="32"/>
      <c r="EC414" s="32"/>
      <c r="ED414" s="32"/>
      <c r="EE414" s="32"/>
      <c r="EF414" s="32"/>
      <c r="EG414" s="32"/>
      <c r="EH414" s="32"/>
      <c r="EI414" s="32"/>
      <c r="EJ414" s="32"/>
      <c r="EK414" s="32"/>
      <c r="EL414" s="32"/>
      <c r="EM414" s="32"/>
      <c r="EN414" s="32"/>
      <c r="EO414" s="32"/>
      <c r="EP414" s="32"/>
      <c r="EQ414" s="32"/>
      <c r="ER414" s="32"/>
      <c r="ES414" s="32"/>
      <c r="ET414" s="32"/>
      <c r="EU414" s="32"/>
      <c r="EV414" s="32"/>
      <c r="EW414" s="32"/>
      <c r="EX414" s="32"/>
      <c r="EY414" s="32"/>
      <c r="EZ414" s="32"/>
      <c r="FA414" s="32"/>
      <c r="FB414" s="32"/>
      <c r="FC414" s="32"/>
      <c r="FD414" s="32"/>
      <c r="FE414" s="32"/>
      <c r="FF414" s="32"/>
      <c r="FG414" s="32"/>
      <c r="FH414" s="32"/>
      <c r="FI414" s="32"/>
      <c r="FJ414" s="32"/>
      <c r="FK414" s="32"/>
      <c r="FL414" s="32"/>
      <c r="FM414" s="32"/>
      <c r="FN414" s="32"/>
      <c r="FO414" s="32"/>
      <c r="FP414" s="32"/>
      <c r="FQ414" s="32"/>
      <c r="FR414" s="32"/>
      <c r="FS414" s="32"/>
      <c r="FT414" s="32"/>
      <c r="FU414" s="32"/>
      <c r="FV414" s="32"/>
      <c r="FW414" s="32"/>
      <c r="FX414" s="32"/>
      <c r="FY414" s="32"/>
      <c r="FZ414" s="32"/>
      <c r="GA414" s="32"/>
      <c r="GB414" s="32"/>
      <c r="GC414" s="32"/>
      <c r="GD414" s="32"/>
      <c r="GE414" s="32"/>
      <c r="GF414" s="32"/>
      <c r="GG414" s="32"/>
      <c r="GH414" s="32"/>
      <c r="GI414" s="32"/>
      <c r="GJ414" s="32"/>
      <c r="GK414" s="32"/>
      <c r="GL414" s="32"/>
      <c r="GM414" s="32"/>
      <c r="GN414" s="32"/>
      <c r="GO414" s="32"/>
      <c r="GP414" s="32"/>
      <c r="GQ414" s="32"/>
      <c r="GR414" s="32"/>
      <c r="GS414" s="32"/>
      <c r="GT414" s="32"/>
      <c r="GU414" s="32"/>
      <c r="GV414" s="32"/>
      <c r="GW414" s="32"/>
      <c r="GX414" s="32"/>
      <c r="GY414" s="32"/>
      <c r="GZ414" s="32"/>
      <c r="HA414" s="32"/>
      <c r="HB414" s="32"/>
      <c r="HC414" s="32"/>
      <c r="HD414" s="32"/>
      <c r="HE414" s="32"/>
      <c r="HF414" s="32"/>
      <c r="HG414" s="32"/>
      <c r="HH414" s="32"/>
      <c r="HI414" s="32"/>
      <c r="HJ414" s="32"/>
      <c r="HK414" s="32"/>
      <c r="HL414" s="32"/>
      <c r="HM414" s="32"/>
      <c r="HN414" s="32"/>
      <c r="HO414" s="32"/>
      <c r="HP414" s="32"/>
    </row>
    <row r="415" spans="2:224" ht="18" thickTop="1" x14ac:dyDescent="0.5">
      <c r="B415" s="43"/>
      <c r="G415" s="63"/>
      <c r="H415" s="32"/>
      <c r="I415" s="334"/>
      <c r="J415" s="32"/>
      <c r="L415" s="165"/>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c r="CK415" s="32"/>
      <c r="CL415" s="32"/>
      <c r="CM415" s="32"/>
      <c r="CN415" s="32"/>
      <c r="CO415" s="32"/>
      <c r="CP415" s="32"/>
      <c r="CQ415" s="32"/>
      <c r="CR415" s="32"/>
      <c r="CS415" s="32"/>
      <c r="CT415" s="32"/>
      <c r="CU415" s="32"/>
      <c r="CV415" s="32"/>
      <c r="CW415" s="32"/>
      <c r="CX415" s="32"/>
      <c r="CY415" s="32"/>
      <c r="CZ415" s="32"/>
      <c r="DA415" s="32"/>
      <c r="DB415" s="32"/>
      <c r="DC415" s="32"/>
      <c r="DD415" s="32"/>
      <c r="DE415" s="32"/>
      <c r="DF415" s="32"/>
      <c r="DG415" s="32"/>
      <c r="DH415" s="32"/>
      <c r="DI415" s="32"/>
      <c r="DJ415" s="32"/>
      <c r="DK415" s="32"/>
      <c r="DL415" s="32"/>
      <c r="DM415" s="32"/>
      <c r="DN415" s="32"/>
      <c r="DO415" s="32"/>
      <c r="DP415" s="32"/>
      <c r="DQ415" s="32"/>
      <c r="DR415" s="32"/>
      <c r="DS415" s="32"/>
      <c r="DT415" s="32"/>
      <c r="DU415" s="32"/>
      <c r="DV415" s="32"/>
      <c r="DW415" s="32"/>
      <c r="DX415" s="32"/>
      <c r="DY415" s="32"/>
      <c r="DZ415" s="32"/>
      <c r="EA415" s="32"/>
      <c r="EB415" s="32"/>
      <c r="EC415" s="32"/>
      <c r="ED415" s="32"/>
      <c r="EE415" s="32"/>
      <c r="EF415" s="32"/>
      <c r="EG415" s="32"/>
      <c r="EH415" s="32"/>
      <c r="EI415" s="32"/>
      <c r="EJ415" s="32"/>
      <c r="EK415" s="32"/>
      <c r="EL415" s="32"/>
      <c r="EM415" s="32"/>
      <c r="EN415" s="32"/>
      <c r="EO415" s="32"/>
      <c r="EP415" s="32"/>
      <c r="EQ415" s="32"/>
      <c r="ER415" s="32"/>
      <c r="ES415" s="32"/>
      <c r="ET415" s="32"/>
      <c r="EU415" s="32"/>
      <c r="EV415" s="32"/>
      <c r="EW415" s="32"/>
      <c r="EX415" s="32"/>
      <c r="EY415" s="32"/>
      <c r="EZ415" s="32"/>
      <c r="FA415" s="32"/>
      <c r="FB415" s="32"/>
      <c r="FC415" s="32"/>
      <c r="FD415" s="32"/>
      <c r="FE415" s="32"/>
      <c r="FF415" s="32"/>
      <c r="FG415" s="32"/>
      <c r="FH415" s="32"/>
      <c r="FI415" s="32"/>
      <c r="FJ415" s="32"/>
      <c r="FK415" s="32"/>
      <c r="FL415" s="32"/>
      <c r="FM415" s="32"/>
      <c r="FN415" s="32"/>
      <c r="FO415" s="32"/>
      <c r="FP415" s="32"/>
      <c r="FQ415" s="32"/>
      <c r="FR415" s="32"/>
      <c r="FS415" s="32"/>
      <c r="FT415" s="32"/>
      <c r="FU415" s="32"/>
      <c r="FV415" s="32"/>
      <c r="FW415" s="32"/>
      <c r="FX415" s="32"/>
      <c r="FY415" s="32"/>
      <c r="FZ415" s="32"/>
      <c r="GA415" s="32"/>
      <c r="GB415" s="32"/>
      <c r="GC415" s="32"/>
      <c r="GD415" s="32"/>
      <c r="GE415" s="32"/>
      <c r="GF415" s="32"/>
      <c r="GG415" s="32"/>
      <c r="GH415" s="32"/>
      <c r="GI415" s="32"/>
      <c r="GJ415" s="32"/>
      <c r="GK415" s="32"/>
      <c r="GL415" s="32"/>
      <c r="GM415" s="32"/>
      <c r="GN415" s="32"/>
      <c r="GO415" s="32"/>
      <c r="GP415" s="32"/>
      <c r="GQ415" s="32"/>
      <c r="GR415" s="32"/>
      <c r="GS415" s="32"/>
      <c r="GT415" s="32"/>
      <c r="GU415" s="32"/>
      <c r="GV415" s="32"/>
      <c r="GW415" s="32"/>
      <c r="GX415" s="32"/>
      <c r="GY415" s="32"/>
      <c r="GZ415" s="32"/>
      <c r="HA415" s="32"/>
      <c r="HB415" s="32"/>
      <c r="HC415" s="32"/>
      <c r="HD415" s="32"/>
      <c r="HE415" s="32"/>
      <c r="HF415" s="32"/>
      <c r="HG415" s="32"/>
      <c r="HH415" s="32"/>
      <c r="HI415" s="32"/>
      <c r="HJ415" s="32"/>
      <c r="HK415" s="32"/>
      <c r="HL415" s="32"/>
      <c r="HM415" s="32"/>
      <c r="HN415" s="32"/>
      <c r="HO415" s="32"/>
      <c r="HP415" s="32"/>
    </row>
    <row r="416" spans="2:224" x14ac:dyDescent="0.5">
      <c r="B416" s="43"/>
      <c r="G416" s="63"/>
      <c r="H416" s="32"/>
      <c r="I416" s="334"/>
      <c r="J416" s="32"/>
      <c r="L416" s="165"/>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c r="CK416" s="32"/>
      <c r="CL416" s="32"/>
      <c r="CM416" s="32"/>
      <c r="CN416" s="32"/>
      <c r="CO416" s="32"/>
      <c r="CP416" s="32"/>
      <c r="CQ416" s="32"/>
      <c r="CR416" s="32"/>
      <c r="CS416" s="32"/>
      <c r="CT416" s="32"/>
      <c r="CU416" s="32"/>
      <c r="CV416" s="32"/>
      <c r="CW416" s="32"/>
      <c r="CX416" s="32"/>
      <c r="CY416" s="32"/>
      <c r="CZ416" s="32"/>
      <c r="DA416" s="32"/>
      <c r="DB416" s="32"/>
      <c r="DC416" s="32"/>
      <c r="DD416" s="32"/>
      <c r="DE416" s="32"/>
      <c r="DF416" s="32"/>
      <c r="DG416" s="32"/>
      <c r="DH416" s="32"/>
      <c r="DI416" s="32"/>
      <c r="DJ416" s="32"/>
      <c r="DK416" s="32"/>
      <c r="DL416" s="32"/>
      <c r="DM416" s="32"/>
      <c r="DN416" s="32"/>
      <c r="DO416" s="32"/>
      <c r="DP416" s="32"/>
      <c r="DQ416" s="32"/>
      <c r="DR416" s="32"/>
      <c r="DS416" s="32"/>
      <c r="DT416" s="32"/>
      <c r="DU416" s="32"/>
      <c r="DV416" s="32"/>
      <c r="DW416" s="32"/>
      <c r="DX416" s="32"/>
      <c r="DY416" s="32"/>
      <c r="DZ416" s="32"/>
      <c r="EA416" s="32"/>
      <c r="EB416" s="32"/>
      <c r="EC416" s="32"/>
      <c r="ED416" s="32"/>
      <c r="EE416" s="32"/>
      <c r="EF416" s="32"/>
      <c r="EG416" s="32"/>
      <c r="EH416" s="32"/>
      <c r="EI416" s="32"/>
      <c r="EJ416" s="32"/>
      <c r="EK416" s="32"/>
      <c r="EL416" s="32"/>
      <c r="EM416" s="32"/>
      <c r="EN416" s="32"/>
      <c r="EO416" s="32"/>
      <c r="EP416" s="32"/>
      <c r="EQ416" s="32"/>
      <c r="ER416" s="32"/>
      <c r="ES416" s="32"/>
      <c r="ET416" s="32"/>
      <c r="EU416" s="32"/>
      <c r="EV416" s="32"/>
      <c r="EW416" s="32"/>
      <c r="EX416" s="32"/>
      <c r="EY416" s="32"/>
      <c r="EZ416" s="32"/>
      <c r="FA416" s="32"/>
      <c r="FB416" s="32"/>
      <c r="FC416" s="32"/>
      <c r="FD416" s="32"/>
      <c r="FE416" s="32"/>
      <c r="FF416" s="32"/>
      <c r="FG416" s="32"/>
      <c r="FH416" s="32"/>
      <c r="FI416" s="32"/>
      <c r="FJ416" s="32"/>
      <c r="FK416" s="32"/>
      <c r="FL416" s="32"/>
      <c r="FM416" s="32"/>
      <c r="FN416" s="32"/>
      <c r="FO416" s="32"/>
      <c r="FP416" s="32"/>
      <c r="FQ416" s="32"/>
      <c r="FR416" s="32"/>
      <c r="FS416" s="32"/>
      <c r="FT416" s="32"/>
      <c r="FU416" s="32"/>
      <c r="FV416" s="32"/>
      <c r="FW416" s="32"/>
      <c r="FX416" s="32"/>
      <c r="FY416" s="32"/>
      <c r="FZ416" s="32"/>
      <c r="GA416" s="32"/>
      <c r="GB416" s="32"/>
      <c r="GC416" s="32"/>
      <c r="GD416" s="32"/>
      <c r="GE416" s="32"/>
      <c r="GF416" s="32"/>
      <c r="GG416" s="32"/>
      <c r="GH416" s="32"/>
      <c r="GI416" s="32"/>
      <c r="GJ416" s="32"/>
      <c r="GK416" s="32"/>
      <c r="GL416" s="32"/>
      <c r="GM416" s="32"/>
      <c r="GN416" s="32"/>
      <c r="GO416" s="32"/>
      <c r="GP416" s="32"/>
      <c r="GQ416" s="32"/>
      <c r="GR416" s="32"/>
      <c r="GS416" s="32"/>
      <c r="GT416" s="32"/>
      <c r="GU416" s="32"/>
      <c r="GV416" s="32"/>
      <c r="GW416" s="32"/>
      <c r="GX416" s="32"/>
      <c r="GY416" s="32"/>
      <c r="GZ416" s="32"/>
      <c r="HA416" s="32"/>
      <c r="HB416" s="32"/>
      <c r="HC416" s="32"/>
      <c r="HD416" s="32"/>
      <c r="HE416" s="32"/>
      <c r="HF416" s="32"/>
      <c r="HG416" s="32"/>
      <c r="HH416" s="32"/>
      <c r="HI416" s="32"/>
      <c r="HJ416" s="32"/>
      <c r="HK416" s="32"/>
      <c r="HL416" s="32"/>
      <c r="HM416" s="32"/>
      <c r="HN416" s="32"/>
      <c r="HO416" s="32"/>
      <c r="HP416" s="32"/>
    </row>
    <row r="417" spans="2:224" x14ac:dyDescent="0.5">
      <c r="B417" s="43"/>
      <c r="G417" s="63"/>
      <c r="H417" s="32"/>
      <c r="I417" s="334"/>
      <c r="J417" s="32"/>
      <c r="L417" s="165"/>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c r="BO417" s="32"/>
      <c r="BP417" s="32"/>
      <c r="BQ417" s="32"/>
      <c r="BR417" s="32"/>
      <c r="BS417" s="32"/>
      <c r="BT417" s="32"/>
      <c r="BU417" s="32"/>
      <c r="BV417" s="32"/>
      <c r="BW417" s="32"/>
      <c r="BX417" s="32"/>
      <c r="BY417" s="32"/>
      <c r="BZ417" s="32"/>
      <c r="CA417" s="32"/>
      <c r="CB417" s="32"/>
      <c r="CC417" s="32"/>
      <c r="CD417" s="32"/>
      <c r="CE417" s="32"/>
      <c r="CF417" s="32"/>
      <c r="CG417" s="32"/>
      <c r="CH417" s="32"/>
      <c r="CI417" s="32"/>
      <c r="CJ417" s="32"/>
      <c r="CK417" s="32"/>
      <c r="CL417" s="32"/>
      <c r="CM417" s="32"/>
      <c r="CN417" s="32"/>
      <c r="CO417" s="32"/>
      <c r="CP417" s="32"/>
      <c r="CQ417" s="32"/>
      <c r="CR417" s="32"/>
      <c r="CS417" s="32"/>
      <c r="CT417" s="32"/>
      <c r="CU417" s="32"/>
      <c r="CV417" s="32"/>
      <c r="CW417" s="32"/>
      <c r="CX417" s="32"/>
      <c r="CY417" s="32"/>
      <c r="CZ417" s="32"/>
      <c r="DA417" s="32"/>
      <c r="DB417" s="32"/>
      <c r="DC417" s="32"/>
      <c r="DD417" s="32"/>
      <c r="DE417" s="32"/>
      <c r="DF417" s="32"/>
      <c r="DG417" s="32"/>
      <c r="DH417" s="32"/>
      <c r="DI417" s="32"/>
      <c r="DJ417" s="32"/>
      <c r="DK417" s="32"/>
      <c r="DL417" s="32"/>
      <c r="DM417" s="32"/>
      <c r="DN417" s="32"/>
      <c r="DO417" s="32"/>
      <c r="DP417" s="32"/>
      <c r="DQ417" s="32"/>
      <c r="DR417" s="32"/>
      <c r="DS417" s="32"/>
      <c r="DT417" s="32"/>
      <c r="DU417" s="32"/>
      <c r="DV417" s="32"/>
      <c r="DW417" s="32"/>
      <c r="DX417" s="32"/>
      <c r="DY417" s="32"/>
      <c r="DZ417" s="32"/>
      <c r="EA417" s="32"/>
      <c r="EB417" s="32"/>
      <c r="EC417" s="32"/>
      <c r="ED417" s="32"/>
      <c r="EE417" s="32"/>
      <c r="EF417" s="32"/>
      <c r="EG417" s="32"/>
      <c r="EH417" s="32"/>
      <c r="EI417" s="32"/>
      <c r="EJ417" s="32"/>
      <c r="EK417" s="32"/>
      <c r="EL417" s="32"/>
      <c r="EM417" s="32"/>
      <c r="EN417" s="32"/>
      <c r="EO417" s="32"/>
      <c r="EP417" s="32"/>
      <c r="EQ417" s="32"/>
      <c r="ER417" s="32"/>
      <c r="ES417" s="32"/>
      <c r="ET417" s="32"/>
      <c r="EU417" s="32"/>
      <c r="EV417" s="32"/>
      <c r="EW417" s="32"/>
      <c r="EX417" s="32"/>
      <c r="EY417" s="32"/>
      <c r="EZ417" s="32"/>
      <c r="FA417" s="32"/>
      <c r="FB417" s="32"/>
      <c r="FC417" s="32"/>
      <c r="FD417" s="32"/>
      <c r="FE417" s="32"/>
      <c r="FF417" s="32"/>
      <c r="FG417" s="32"/>
      <c r="FH417" s="32"/>
      <c r="FI417" s="32"/>
      <c r="FJ417" s="32"/>
      <c r="FK417" s="32"/>
      <c r="FL417" s="32"/>
      <c r="FM417" s="32"/>
      <c r="FN417" s="32"/>
      <c r="FO417" s="32"/>
      <c r="FP417" s="32"/>
      <c r="FQ417" s="32"/>
      <c r="FR417" s="32"/>
      <c r="FS417" s="32"/>
      <c r="FT417" s="32"/>
      <c r="FU417" s="32"/>
      <c r="FV417" s="32"/>
      <c r="FW417" s="32"/>
      <c r="FX417" s="32"/>
      <c r="FY417" s="32"/>
      <c r="FZ417" s="32"/>
      <c r="GA417" s="32"/>
      <c r="GB417" s="32"/>
      <c r="GC417" s="32"/>
      <c r="GD417" s="32"/>
      <c r="GE417" s="32"/>
      <c r="GF417" s="32"/>
      <c r="GG417" s="32"/>
      <c r="GH417" s="32"/>
      <c r="GI417" s="32"/>
      <c r="GJ417" s="32"/>
      <c r="GK417" s="32"/>
      <c r="GL417" s="32"/>
      <c r="GM417" s="32"/>
      <c r="GN417" s="32"/>
      <c r="GO417" s="32"/>
      <c r="GP417" s="32"/>
      <c r="GQ417" s="32"/>
      <c r="GR417" s="32"/>
      <c r="GS417" s="32"/>
      <c r="GT417" s="32"/>
      <c r="GU417" s="32"/>
      <c r="GV417" s="32"/>
      <c r="GW417" s="32"/>
      <c r="GX417" s="32"/>
      <c r="GY417" s="32"/>
      <c r="GZ417" s="32"/>
      <c r="HA417" s="32"/>
      <c r="HB417" s="32"/>
      <c r="HC417" s="32"/>
      <c r="HD417" s="32"/>
      <c r="HE417" s="32"/>
      <c r="HF417" s="32"/>
      <c r="HG417" s="32"/>
      <c r="HH417" s="32"/>
      <c r="HI417" s="32"/>
      <c r="HJ417" s="32"/>
      <c r="HK417" s="32"/>
      <c r="HL417" s="32"/>
      <c r="HM417" s="32"/>
      <c r="HN417" s="32"/>
      <c r="HO417" s="32"/>
      <c r="HP417" s="32"/>
    </row>
    <row r="418" spans="2:224" x14ac:dyDescent="0.5">
      <c r="B418" s="43"/>
      <c r="G418" s="63"/>
      <c r="H418" s="32"/>
      <c r="I418" s="334"/>
      <c r="J418" s="32"/>
      <c r="L418" s="165"/>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c r="CK418" s="32"/>
      <c r="CL418" s="32"/>
      <c r="CM418" s="32"/>
      <c r="CN418" s="32"/>
      <c r="CO418" s="32"/>
      <c r="CP418" s="32"/>
      <c r="CQ418" s="32"/>
      <c r="CR418" s="32"/>
      <c r="CS418" s="32"/>
      <c r="CT418" s="32"/>
      <c r="CU418" s="32"/>
      <c r="CV418" s="32"/>
      <c r="CW418" s="32"/>
      <c r="CX418" s="32"/>
      <c r="CY418" s="32"/>
      <c r="CZ418" s="32"/>
      <c r="DA418" s="32"/>
      <c r="DB418" s="32"/>
      <c r="DC418" s="32"/>
      <c r="DD418" s="32"/>
      <c r="DE418" s="32"/>
      <c r="DF418" s="32"/>
      <c r="DG418" s="32"/>
      <c r="DH418" s="32"/>
      <c r="DI418" s="32"/>
      <c r="DJ418" s="32"/>
      <c r="DK418" s="32"/>
      <c r="DL418" s="32"/>
      <c r="DM418" s="32"/>
      <c r="DN418" s="32"/>
      <c r="DO418" s="32"/>
      <c r="DP418" s="32"/>
      <c r="DQ418" s="32"/>
      <c r="DR418" s="32"/>
      <c r="DS418" s="32"/>
      <c r="DT418" s="32"/>
      <c r="DU418" s="32"/>
      <c r="DV418" s="32"/>
      <c r="DW418" s="32"/>
      <c r="DX418" s="32"/>
      <c r="DY418" s="32"/>
      <c r="DZ418" s="32"/>
      <c r="EA418" s="32"/>
      <c r="EB418" s="32"/>
      <c r="EC418" s="32"/>
      <c r="ED418" s="32"/>
      <c r="EE418" s="32"/>
      <c r="EF418" s="32"/>
      <c r="EG418" s="32"/>
      <c r="EH418" s="32"/>
      <c r="EI418" s="32"/>
      <c r="EJ418" s="32"/>
      <c r="EK418" s="32"/>
      <c r="EL418" s="32"/>
      <c r="EM418" s="32"/>
      <c r="EN418" s="32"/>
      <c r="EO418" s="32"/>
      <c r="EP418" s="32"/>
      <c r="EQ418" s="32"/>
      <c r="ER418" s="32"/>
      <c r="ES418" s="32"/>
      <c r="ET418" s="32"/>
      <c r="EU418" s="32"/>
      <c r="EV418" s="32"/>
      <c r="EW418" s="32"/>
      <c r="EX418" s="32"/>
      <c r="EY418" s="32"/>
      <c r="EZ418" s="32"/>
      <c r="FA418" s="32"/>
      <c r="FB418" s="32"/>
      <c r="FC418" s="32"/>
      <c r="FD418" s="32"/>
      <c r="FE418" s="32"/>
      <c r="FF418" s="32"/>
      <c r="FG418" s="32"/>
      <c r="FH418" s="32"/>
      <c r="FI418" s="32"/>
      <c r="FJ418" s="32"/>
      <c r="FK418" s="32"/>
      <c r="FL418" s="32"/>
      <c r="FM418" s="32"/>
      <c r="FN418" s="32"/>
      <c r="FO418" s="32"/>
      <c r="FP418" s="32"/>
      <c r="FQ418" s="32"/>
      <c r="FR418" s="32"/>
      <c r="FS418" s="32"/>
      <c r="FT418" s="32"/>
      <c r="FU418" s="32"/>
      <c r="FV418" s="32"/>
      <c r="FW418" s="32"/>
      <c r="FX418" s="32"/>
      <c r="FY418" s="32"/>
      <c r="FZ418" s="32"/>
      <c r="GA418" s="32"/>
      <c r="GB418" s="32"/>
      <c r="GC418" s="32"/>
      <c r="GD418" s="32"/>
      <c r="GE418" s="32"/>
      <c r="GF418" s="32"/>
      <c r="GG418" s="32"/>
      <c r="GH418" s="32"/>
      <c r="GI418" s="32"/>
      <c r="GJ418" s="32"/>
      <c r="GK418" s="32"/>
      <c r="GL418" s="32"/>
      <c r="GM418" s="32"/>
      <c r="GN418" s="32"/>
      <c r="GO418" s="32"/>
      <c r="GP418" s="32"/>
      <c r="GQ418" s="32"/>
      <c r="GR418" s="32"/>
      <c r="GS418" s="32"/>
      <c r="GT418" s="32"/>
      <c r="GU418" s="32"/>
      <c r="GV418" s="32"/>
      <c r="GW418" s="32"/>
      <c r="GX418" s="32"/>
      <c r="GY418" s="32"/>
      <c r="GZ418" s="32"/>
      <c r="HA418" s="32"/>
      <c r="HB418" s="32"/>
      <c r="HC418" s="32"/>
      <c r="HD418" s="32"/>
      <c r="HE418" s="32"/>
      <c r="HF418" s="32"/>
      <c r="HG418" s="32"/>
      <c r="HH418" s="32"/>
      <c r="HI418" s="32"/>
      <c r="HJ418" s="32"/>
      <c r="HK418" s="32"/>
      <c r="HL418" s="32"/>
      <c r="HM418" s="32"/>
      <c r="HN418" s="32"/>
      <c r="HO418" s="32"/>
      <c r="HP418" s="32"/>
    </row>
    <row r="419" spans="2:224" x14ac:dyDescent="0.5">
      <c r="B419" s="43"/>
      <c r="G419" s="63"/>
      <c r="H419" s="32"/>
      <c r="I419" s="334"/>
      <c r="J419" s="32"/>
      <c r="L419" s="165"/>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c r="CK419" s="32"/>
      <c r="CL419" s="32"/>
      <c r="CM419" s="32"/>
      <c r="CN419" s="32"/>
      <c r="CO419" s="32"/>
      <c r="CP419" s="32"/>
      <c r="CQ419" s="32"/>
      <c r="CR419" s="32"/>
      <c r="CS419" s="32"/>
      <c r="CT419" s="32"/>
      <c r="CU419" s="32"/>
      <c r="CV419" s="32"/>
      <c r="CW419" s="32"/>
      <c r="CX419" s="32"/>
      <c r="CY419" s="32"/>
      <c r="CZ419" s="32"/>
      <c r="DA419" s="32"/>
      <c r="DB419" s="32"/>
      <c r="DC419" s="32"/>
      <c r="DD419" s="32"/>
      <c r="DE419" s="32"/>
      <c r="DF419" s="32"/>
      <c r="DG419" s="32"/>
      <c r="DH419" s="32"/>
      <c r="DI419" s="32"/>
      <c r="DJ419" s="32"/>
      <c r="DK419" s="32"/>
      <c r="DL419" s="32"/>
      <c r="DM419" s="32"/>
      <c r="DN419" s="32"/>
      <c r="DO419" s="32"/>
      <c r="DP419" s="32"/>
      <c r="DQ419" s="32"/>
      <c r="DR419" s="32"/>
      <c r="DS419" s="32"/>
      <c r="DT419" s="32"/>
      <c r="DU419" s="32"/>
      <c r="DV419" s="32"/>
      <c r="DW419" s="32"/>
      <c r="DX419" s="32"/>
      <c r="DY419" s="32"/>
      <c r="DZ419" s="32"/>
      <c r="EA419" s="32"/>
      <c r="EB419" s="32"/>
      <c r="EC419" s="32"/>
      <c r="ED419" s="32"/>
      <c r="EE419" s="32"/>
      <c r="EF419" s="32"/>
      <c r="EG419" s="32"/>
      <c r="EH419" s="32"/>
      <c r="EI419" s="32"/>
      <c r="EJ419" s="32"/>
      <c r="EK419" s="32"/>
      <c r="EL419" s="32"/>
      <c r="EM419" s="32"/>
      <c r="EN419" s="32"/>
      <c r="EO419" s="32"/>
      <c r="EP419" s="32"/>
      <c r="EQ419" s="32"/>
      <c r="ER419" s="32"/>
      <c r="ES419" s="32"/>
      <c r="ET419" s="32"/>
      <c r="EU419" s="32"/>
      <c r="EV419" s="32"/>
      <c r="EW419" s="32"/>
      <c r="EX419" s="32"/>
      <c r="EY419" s="32"/>
      <c r="EZ419" s="32"/>
      <c r="FA419" s="32"/>
      <c r="FB419" s="32"/>
      <c r="FC419" s="32"/>
      <c r="FD419" s="32"/>
      <c r="FE419" s="32"/>
      <c r="FF419" s="32"/>
      <c r="FG419" s="32"/>
      <c r="FH419" s="32"/>
      <c r="FI419" s="32"/>
      <c r="FJ419" s="32"/>
      <c r="FK419" s="32"/>
      <c r="FL419" s="32"/>
      <c r="FM419" s="32"/>
      <c r="FN419" s="32"/>
      <c r="FO419" s="32"/>
      <c r="FP419" s="32"/>
      <c r="FQ419" s="32"/>
      <c r="FR419" s="32"/>
      <c r="FS419" s="32"/>
      <c r="FT419" s="32"/>
      <c r="FU419" s="32"/>
      <c r="FV419" s="32"/>
      <c r="FW419" s="32"/>
      <c r="FX419" s="32"/>
      <c r="FY419" s="32"/>
      <c r="FZ419" s="32"/>
      <c r="GA419" s="32"/>
      <c r="GB419" s="32"/>
      <c r="GC419" s="32"/>
      <c r="GD419" s="32"/>
      <c r="GE419" s="32"/>
      <c r="GF419" s="32"/>
      <c r="GG419" s="32"/>
      <c r="GH419" s="32"/>
      <c r="GI419" s="32"/>
      <c r="GJ419" s="32"/>
      <c r="GK419" s="32"/>
      <c r="GL419" s="32"/>
      <c r="GM419" s="32"/>
      <c r="GN419" s="32"/>
      <c r="GO419" s="32"/>
      <c r="GP419" s="32"/>
      <c r="GQ419" s="32"/>
      <c r="GR419" s="32"/>
      <c r="GS419" s="32"/>
      <c r="GT419" s="32"/>
      <c r="GU419" s="32"/>
      <c r="GV419" s="32"/>
      <c r="GW419" s="32"/>
      <c r="GX419" s="32"/>
      <c r="GY419" s="32"/>
      <c r="GZ419" s="32"/>
      <c r="HA419" s="32"/>
      <c r="HB419" s="32"/>
      <c r="HC419" s="32"/>
      <c r="HD419" s="32"/>
      <c r="HE419" s="32"/>
      <c r="HF419" s="32"/>
      <c r="HG419" s="32"/>
      <c r="HH419" s="32"/>
      <c r="HI419" s="32"/>
      <c r="HJ419" s="32"/>
      <c r="HK419" s="32"/>
      <c r="HL419" s="32"/>
      <c r="HM419" s="32"/>
      <c r="HN419" s="32"/>
      <c r="HO419" s="32"/>
      <c r="HP419" s="32"/>
    </row>
    <row r="420" spans="2:224" x14ac:dyDescent="0.5">
      <c r="B420" s="43"/>
      <c r="G420" s="63"/>
      <c r="H420" s="32"/>
      <c r="I420" s="334"/>
      <c r="J420" s="32"/>
      <c r="L420" s="165"/>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c r="CK420" s="32"/>
      <c r="CL420" s="32"/>
      <c r="CM420" s="32"/>
      <c r="CN420" s="32"/>
      <c r="CO420" s="32"/>
      <c r="CP420" s="32"/>
      <c r="CQ420" s="32"/>
      <c r="CR420" s="32"/>
      <c r="CS420" s="32"/>
      <c r="CT420" s="32"/>
      <c r="CU420" s="32"/>
      <c r="CV420" s="32"/>
      <c r="CW420" s="32"/>
      <c r="CX420" s="32"/>
      <c r="CY420" s="32"/>
      <c r="CZ420" s="32"/>
      <c r="DA420" s="32"/>
      <c r="DB420" s="32"/>
      <c r="DC420" s="32"/>
      <c r="DD420" s="32"/>
      <c r="DE420" s="32"/>
      <c r="DF420" s="32"/>
      <c r="DG420" s="32"/>
      <c r="DH420" s="32"/>
      <c r="DI420" s="32"/>
      <c r="DJ420" s="32"/>
      <c r="DK420" s="32"/>
      <c r="DL420" s="32"/>
      <c r="DM420" s="32"/>
      <c r="DN420" s="32"/>
      <c r="DO420" s="32"/>
      <c r="DP420" s="32"/>
      <c r="DQ420" s="32"/>
      <c r="DR420" s="32"/>
      <c r="DS420" s="32"/>
      <c r="DT420" s="32"/>
      <c r="DU420" s="32"/>
      <c r="DV420" s="32"/>
      <c r="DW420" s="32"/>
      <c r="DX420" s="32"/>
      <c r="DY420" s="32"/>
      <c r="DZ420" s="32"/>
      <c r="EA420" s="32"/>
      <c r="EB420" s="32"/>
      <c r="EC420" s="32"/>
      <c r="ED420" s="32"/>
      <c r="EE420" s="32"/>
      <c r="EF420" s="32"/>
      <c r="EG420" s="32"/>
      <c r="EH420" s="32"/>
      <c r="EI420" s="32"/>
      <c r="EJ420" s="32"/>
      <c r="EK420" s="32"/>
      <c r="EL420" s="32"/>
      <c r="EM420" s="32"/>
      <c r="EN420" s="32"/>
      <c r="EO420" s="32"/>
      <c r="EP420" s="32"/>
      <c r="EQ420" s="32"/>
      <c r="ER420" s="32"/>
      <c r="ES420" s="32"/>
      <c r="ET420" s="32"/>
      <c r="EU420" s="32"/>
      <c r="EV420" s="32"/>
      <c r="EW420" s="32"/>
      <c r="EX420" s="32"/>
      <c r="EY420" s="32"/>
      <c r="EZ420" s="32"/>
      <c r="FA420" s="32"/>
      <c r="FB420" s="32"/>
      <c r="FC420" s="32"/>
      <c r="FD420" s="32"/>
      <c r="FE420" s="32"/>
      <c r="FF420" s="32"/>
      <c r="FG420" s="32"/>
      <c r="FH420" s="32"/>
      <c r="FI420" s="32"/>
      <c r="FJ420" s="32"/>
      <c r="FK420" s="32"/>
      <c r="FL420" s="32"/>
      <c r="FM420" s="32"/>
      <c r="FN420" s="32"/>
      <c r="FO420" s="32"/>
      <c r="FP420" s="32"/>
      <c r="FQ420" s="32"/>
      <c r="FR420" s="32"/>
      <c r="FS420" s="32"/>
      <c r="FT420" s="32"/>
      <c r="FU420" s="32"/>
      <c r="FV420" s="32"/>
      <c r="FW420" s="32"/>
      <c r="FX420" s="32"/>
      <c r="FY420" s="32"/>
      <c r="FZ420" s="32"/>
      <c r="GA420" s="32"/>
      <c r="GB420" s="32"/>
      <c r="GC420" s="32"/>
      <c r="GD420" s="32"/>
      <c r="GE420" s="32"/>
      <c r="GF420" s="32"/>
      <c r="GG420" s="32"/>
      <c r="GH420" s="32"/>
      <c r="GI420" s="32"/>
      <c r="GJ420" s="32"/>
      <c r="GK420" s="32"/>
      <c r="GL420" s="32"/>
      <c r="GM420" s="32"/>
      <c r="GN420" s="32"/>
      <c r="GO420" s="32"/>
      <c r="GP420" s="32"/>
      <c r="GQ420" s="32"/>
      <c r="GR420" s="32"/>
      <c r="GS420" s="32"/>
      <c r="GT420" s="32"/>
      <c r="GU420" s="32"/>
      <c r="GV420" s="32"/>
      <c r="GW420" s="32"/>
      <c r="GX420" s="32"/>
      <c r="GY420" s="32"/>
      <c r="GZ420" s="32"/>
      <c r="HA420" s="32"/>
      <c r="HB420" s="32"/>
      <c r="HC420" s="32"/>
      <c r="HD420" s="32"/>
      <c r="HE420" s="32"/>
      <c r="HF420" s="32"/>
      <c r="HG420" s="32"/>
      <c r="HH420" s="32"/>
      <c r="HI420" s="32"/>
      <c r="HJ420" s="32"/>
      <c r="HK420" s="32"/>
      <c r="HL420" s="32"/>
      <c r="HM420" s="32"/>
      <c r="HN420" s="32"/>
      <c r="HO420" s="32"/>
      <c r="HP420" s="32"/>
    </row>
    <row r="421" spans="2:224" x14ac:dyDescent="0.5">
      <c r="B421" s="43"/>
      <c r="G421" s="63"/>
      <c r="H421" s="32"/>
      <c r="I421" s="334"/>
      <c r="J421" s="32"/>
      <c r="L421" s="165"/>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c r="CK421" s="32"/>
      <c r="CL421" s="32"/>
      <c r="CM421" s="32"/>
      <c r="CN421" s="32"/>
      <c r="CO421" s="32"/>
      <c r="CP421" s="32"/>
      <c r="CQ421" s="32"/>
      <c r="CR421" s="32"/>
      <c r="CS421" s="32"/>
      <c r="CT421" s="32"/>
      <c r="CU421" s="32"/>
      <c r="CV421" s="32"/>
      <c r="CW421" s="32"/>
      <c r="CX421" s="32"/>
      <c r="CY421" s="32"/>
      <c r="CZ421" s="32"/>
      <c r="DA421" s="32"/>
      <c r="DB421" s="32"/>
      <c r="DC421" s="32"/>
      <c r="DD421" s="32"/>
      <c r="DE421" s="32"/>
      <c r="DF421" s="32"/>
      <c r="DG421" s="32"/>
      <c r="DH421" s="32"/>
      <c r="DI421" s="32"/>
      <c r="DJ421" s="32"/>
      <c r="DK421" s="32"/>
      <c r="DL421" s="32"/>
      <c r="DM421" s="32"/>
      <c r="DN421" s="32"/>
      <c r="DO421" s="32"/>
      <c r="DP421" s="32"/>
      <c r="DQ421" s="32"/>
      <c r="DR421" s="32"/>
      <c r="DS421" s="32"/>
      <c r="DT421" s="32"/>
      <c r="DU421" s="32"/>
      <c r="DV421" s="32"/>
      <c r="DW421" s="32"/>
      <c r="DX421" s="32"/>
      <c r="DY421" s="32"/>
      <c r="DZ421" s="32"/>
      <c r="EA421" s="32"/>
      <c r="EB421" s="32"/>
      <c r="EC421" s="32"/>
      <c r="ED421" s="32"/>
      <c r="EE421" s="32"/>
      <c r="EF421" s="32"/>
      <c r="EG421" s="32"/>
      <c r="EH421" s="32"/>
      <c r="EI421" s="32"/>
      <c r="EJ421" s="32"/>
      <c r="EK421" s="32"/>
      <c r="EL421" s="32"/>
      <c r="EM421" s="32"/>
      <c r="EN421" s="32"/>
      <c r="EO421" s="32"/>
      <c r="EP421" s="32"/>
      <c r="EQ421" s="32"/>
      <c r="ER421" s="32"/>
      <c r="ES421" s="32"/>
      <c r="ET421" s="32"/>
      <c r="EU421" s="32"/>
      <c r="EV421" s="32"/>
      <c r="EW421" s="32"/>
      <c r="EX421" s="32"/>
      <c r="EY421" s="32"/>
      <c r="EZ421" s="32"/>
      <c r="FA421" s="32"/>
      <c r="FB421" s="32"/>
      <c r="FC421" s="32"/>
      <c r="FD421" s="32"/>
      <c r="FE421" s="32"/>
      <c r="FF421" s="32"/>
      <c r="FG421" s="32"/>
      <c r="FH421" s="32"/>
      <c r="FI421" s="32"/>
      <c r="FJ421" s="32"/>
      <c r="FK421" s="32"/>
      <c r="FL421" s="32"/>
      <c r="FM421" s="32"/>
      <c r="FN421" s="32"/>
      <c r="FO421" s="32"/>
      <c r="FP421" s="32"/>
      <c r="FQ421" s="32"/>
      <c r="FR421" s="32"/>
      <c r="FS421" s="32"/>
      <c r="FT421" s="32"/>
      <c r="FU421" s="32"/>
      <c r="FV421" s="32"/>
      <c r="FW421" s="32"/>
      <c r="FX421" s="32"/>
      <c r="FY421" s="32"/>
      <c r="FZ421" s="32"/>
      <c r="GA421" s="32"/>
      <c r="GB421" s="32"/>
      <c r="GC421" s="32"/>
      <c r="GD421" s="32"/>
      <c r="GE421" s="32"/>
      <c r="GF421" s="32"/>
      <c r="GG421" s="32"/>
      <c r="GH421" s="32"/>
      <c r="GI421" s="32"/>
      <c r="GJ421" s="32"/>
      <c r="GK421" s="32"/>
      <c r="GL421" s="32"/>
      <c r="GM421" s="32"/>
      <c r="GN421" s="32"/>
      <c r="GO421" s="32"/>
      <c r="GP421" s="32"/>
      <c r="GQ421" s="32"/>
      <c r="GR421" s="32"/>
      <c r="GS421" s="32"/>
      <c r="GT421" s="32"/>
      <c r="GU421" s="32"/>
      <c r="GV421" s="32"/>
      <c r="GW421" s="32"/>
      <c r="GX421" s="32"/>
      <c r="GY421" s="32"/>
      <c r="GZ421" s="32"/>
      <c r="HA421" s="32"/>
      <c r="HB421" s="32"/>
      <c r="HC421" s="32"/>
      <c r="HD421" s="32"/>
      <c r="HE421" s="32"/>
      <c r="HF421" s="32"/>
      <c r="HG421" s="32"/>
      <c r="HH421" s="32"/>
      <c r="HI421" s="32"/>
      <c r="HJ421" s="32"/>
      <c r="HK421" s="32"/>
      <c r="HL421" s="32"/>
      <c r="HM421" s="32"/>
      <c r="HN421" s="32"/>
      <c r="HO421" s="32"/>
      <c r="HP421" s="32"/>
    </row>
    <row r="422" spans="2:224" x14ac:dyDescent="0.5">
      <c r="B422" s="43"/>
      <c r="G422" s="63"/>
      <c r="H422" s="32"/>
      <c r="I422" s="334"/>
      <c r="J422" s="32"/>
      <c r="L422" s="165"/>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c r="CK422" s="32"/>
      <c r="CL422" s="32"/>
      <c r="CM422" s="32"/>
      <c r="CN422" s="32"/>
      <c r="CO422" s="32"/>
      <c r="CP422" s="32"/>
      <c r="CQ422" s="32"/>
      <c r="CR422" s="32"/>
      <c r="CS422" s="32"/>
      <c r="CT422" s="32"/>
      <c r="CU422" s="32"/>
      <c r="CV422" s="32"/>
      <c r="CW422" s="32"/>
      <c r="CX422" s="32"/>
      <c r="CY422" s="32"/>
      <c r="CZ422" s="32"/>
      <c r="DA422" s="32"/>
      <c r="DB422" s="32"/>
      <c r="DC422" s="32"/>
      <c r="DD422" s="32"/>
      <c r="DE422" s="32"/>
      <c r="DF422" s="32"/>
      <c r="DG422" s="32"/>
      <c r="DH422" s="32"/>
      <c r="DI422" s="32"/>
      <c r="DJ422" s="32"/>
      <c r="DK422" s="32"/>
      <c r="DL422" s="32"/>
      <c r="DM422" s="32"/>
      <c r="DN422" s="32"/>
      <c r="DO422" s="32"/>
      <c r="DP422" s="32"/>
      <c r="DQ422" s="32"/>
      <c r="DR422" s="32"/>
      <c r="DS422" s="32"/>
      <c r="DT422" s="32"/>
      <c r="DU422" s="32"/>
      <c r="DV422" s="32"/>
      <c r="DW422" s="32"/>
      <c r="DX422" s="32"/>
      <c r="DY422" s="32"/>
      <c r="DZ422" s="32"/>
      <c r="EA422" s="32"/>
      <c r="EB422" s="32"/>
      <c r="EC422" s="32"/>
      <c r="ED422" s="32"/>
      <c r="EE422" s="32"/>
      <c r="EF422" s="32"/>
      <c r="EG422" s="32"/>
      <c r="EH422" s="32"/>
      <c r="EI422" s="32"/>
      <c r="EJ422" s="32"/>
      <c r="EK422" s="32"/>
      <c r="EL422" s="32"/>
      <c r="EM422" s="32"/>
      <c r="EN422" s="32"/>
      <c r="EO422" s="32"/>
      <c r="EP422" s="32"/>
      <c r="EQ422" s="32"/>
      <c r="ER422" s="32"/>
      <c r="ES422" s="32"/>
      <c r="ET422" s="32"/>
      <c r="EU422" s="32"/>
      <c r="EV422" s="32"/>
      <c r="EW422" s="32"/>
      <c r="EX422" s="32"/>
      <c r="EY422" s="32"/>
      <c r="EZ422" s="32"/>
      <c r="FA422" s="32"/>
      <c r="FB422" s="32"/>
      <c r="FC422" s="32"/>
      <c r="FD422" s="32"/>
      <c r="FE422" s="32"/>
      <c r="FF422" s="32"/>
      <c r="FG422" s="32"/>
      <c r="FH422" s="32"/>
      <c r="FI422" s="32"/>
      <c r="FJ422" s="32"/>
      <c r="FK422" s="32"/>
      <c r="FL422" s="32"/>
      <c r="FM422" s="32"/>
      <c r="FN422" s="32"/>
      <c r="FO422" s="32"/>
      <c r="FP422" s="32"/>
      <c r="FQ422" s="32"/>
      <c r="FR422" s="32"/>
      <c r="FS422" s="32"/>
      <c r="FT422" s="32"/>
      <c r="FU422" s="32"/>
      <c r="FV422" s="32"/>
      <c r="FW422" s="32"/>
      <c r="FX422" s="32"/>
      <c r="FY422" s="32"/>
      <c r="FZ422" s="32"/>
      <c r="GA422" s="32"/>
      <c r="GB422" s="32"/>
      <c r="GC422" s="32"/>
      <c r="GD422" s="32"/>
      <c r="GE422" s="32"/>
      <c r="GF422" s="32"/>
      <c r="GG422" s="32"/>
      <c r="GH422" s="32"/>
      <c r="GI422" s="32"/>
      <c r="GJ422" s="32"/>
      <c r="GK422" s="32"/>
      <c r="GL422" s="32"/>
      <c r="GM422" s="32"/>
      <c r="GN422" s="32"/>
      <c r="GO422" s="32"/>
      <c r="GP422" s="32"/>
      <c r="GQ422" s="32"/>
      <c r="GR422" s="32"/>
      <c r="GS422" s="32"/>
      <c r="GT422" s="32"/>
      <c r="GU422" s="32"/>
      <c r="GV422" s="32"/>
      <c r="GW422" s="32"/>
      <c r="GX422" s="32"/>
      <c r="GY422" s="32"/>
      <c r="GZ422" s="32"/>
      <c r="HA422" s="32"/>
      <c r="HB422" s="32"/>
      <c r="HC422" s="32"/>
      <c r="HD422" s="32"/>
      <c r="HE422" s="32"/>
      <c r="HF422" s="32"/>
      <c r="HG422" s="32"/>
      <c r="HH422" s="32"/>
      <c r="HI422" s="32"/>
      <c r="HJ422" s="32"/>
      <c r="HK422" s="32"/>
      <c r="HL422" s="32"/>
      <c r="HM422" s="32"/>
      <c r="HN422" s="32"/>
      <c r="HO422" s="32"/>
      <c r="HP422" s="32"/>
    </row>
    <row r="423" spans="2:224" x14ac:dyDescent="0.5">
      <c r="B423" s="43"/>
      <c r="G423" s="63"/>
    </row>
    <row r="424" spans="2:224" x14ac:dyDescent="0.5">
      <c r="B424" s="43"/>
      <c r="G424" s="63"/>
    </row>
    <row r="425" spans="2:224" x14ac:dyDescent="0.5">
      <c r="B425" s="43"/>
      <c r="G425" s="63"/>
    </row>
    <row r="426" spans="2:224" x14ac:dyDescent="0.5">
      <c r="B426" s="43"/>
      <c r="G426" s="63"/>
    </row>
    <row r="427" spans="2:224" x14ac:dyDescent="0.5">
      <c r="B427" s="43"/>
      <c r="G427" s="63"/>
    </row>
    <row r="428" spans="2:224" x14ac:dyDescent="0.5">
      <c r="B428" s="43"/>
      <c r="G428" s="63"/>
    </row>
    <row r="429" spans="2:224" x14ac:dyDescent="0.5">
      <c r="B429" s="43"/>
      <c r="G429" s="63"/>
    </row>
    <row r="430" spans="2:224" x14ac:dyDescent="0.5">
      <c r="B430" s="43"/>
      <c r="G430" s="63"/>
    </row>
    <row r="431" spans="2:224" x14ac:dyDescent="0.5">
      <c r="B431" s="43"/>
      <c r="G431" s="63"/>
    </row>
    <row r="432" spans="2:224" x14ac:dyDescent="0.5">
      <c r="B432" s="43"/>
      <c r="G432" s="63"/>
    </row>
    <row r="433" spans="2:7" s="31" customFormat="1" x14ac:dyDescent="0.5">
      <c r="B433" s="43"/>
      <c r="C433" s="30"/>
      <c r="D433" s="28"/>
      <c r="E433" s="29"/>
      <c r="F433" s="64"/>
      <c r="G433" s="63"/>
    </row>
    <row r="434" spans="2:7" s="31" customFormat="1" x14ac:dyDescent="0.5">
      <c r="B434" s="43"/>
      <c r="C434" s="30"/>
      <c r="D434" s="28"/>
      <c r="E434" s="29"/>
      <c r="F434" s="64"/>
      <c r="G434" s="63"/>
    </row>
    <row r="435" spans="2:7" s="31" customFormat="1" x14ac:dyDescent="0.5">
      <c r="B435" s="43"/>
      <c r="C435" s="30"/>
      <c r="D435" s="28"/>
      <c r="E435" s="29"/>
      <c r="F435" s="64"/>
      <c r="G435" s="63"/>
    </row>
    <row r="436" spans="2:7" s="31" customFormat="1" x14ac:dyDescent="0.5">
      <c r="B436" s="43"/>
      <c r="C436" s="30"/>
      <c r="D436" s="28"/>
      <c r="E436" s="29"/>
      <c r="F436" s="64"/>
      <c r="G436" s="63"/>
    </row>
    <row r="437" spans="2:7" s="31" customFormat="1" x14ac:dyDescent="0.5">
      <c r="B437" s="43"/>
      <c r="C437" s="30"/>
      <c r="D437" s="28"/>
      <c r="E437" s="29"/>
      <c r="F437" s="64"/>
      <c r="G437" s="63"/>
    </row>
    <row r="438" spans="2:7" s="31" customFormat="1" x14ac:dyDescent="0.5">
      <c r="B438" s="43"/>
      <c r="C438" s="30"/>
      <c r="D438" s="28"/>
      <c r="E438" s="29"/>
      <c r="F438" s="64"/>
      <c r="G438" s="63"/>
    </row>
    <row r="439" spans="2:7" s="31" customFormat="1" x14ac:dyDescent="0.5">
      <c r="B439" s="43"/>
      <c r="C439" s="30"/>
      <c r="D439" s="28"/>
      <c r="E439" s="29"/>
      <c r="F439" s="64"/>
      <c r="G439" s="63"/>
    </row>
    <row r="440" spans="2:7" s="31" customFormat="1" x14ac:dyDescent="0.5">
      <c r="B440" s="43"/>
      <c r="C440" s="30"/>
      <c r="D440" s="28"/>
      <c r="E440" s="29"/>
      <c r="F440" s="64"/>
      <c r="G440" s="63"/>
    </row>
    <row r="441" spans="2:7" s="31" customFormat="1" x14ac:dyDescent="0.5">
      <c r="B441" s="43"/>
      <c r="C441" s="30"/>
      <c r="D441" s="28"/>
      <c r="E441" s="29"/>
      <c r="F441" s="64"/>
      <c r="G441" s="63"/>
    </row>
    <row r="442" spans="2:7" s="31" customFormat="1" x14ac:dyDescent="0.5">
      <c r="B442" s="43"/>
      <c r="C442" s="30"/>
      <c r="D442" s="28"/>
      <c r="E442" s="29"/>
      <c r="F442" s="64"/>
      <c r="G442" s="63"/>
    </row>
    <row r="443" spans="2:7" s="31" customFormat="1" x14ac:dyDescent="0.5">
      <c r="B443" s="43"/>
      <c r="C443" s="30"/>
      <c r="D443" s="28"/>
      <c r="E443" s="29"/>
      <c r="F443" s="64"/>
      <c r="G443" s="63"/>
    </row>
    <row r="444" spans="2:7" s="31" customFormat="1" x14ac:dyDescent="0.5">
      <c r="B444" s="43"/>
      <c r="C444" s="30"/>
      <c r="D444" s="28"/>
      <c r="E444" s="29"/>
      <c r="F444" s="64"/>
      <c r="G444" s="63"/>
    </row>
    <row r="445" spans="2:7" s="31" customFormat="1" x14ac:dyDescent="0.5">
      <c r="B445" s="43"/>
      <c r="C445" s="30"/>
      <c r="D445" s="28"/>
      <c r="E445" s="29"/>
      <c r="F445" s="64"/>
      <c r="G445" s="63"/>
    </row>
    <row r="446" spans="2:7" s="31" customFormat="1" x14ac:dyDescent="0.5">
      <c r="B446" s="43"/>
      <c r="C446" s="30"/>
      <c r="D446" s="28"/>
      <c r="E446" s="29"/>
      <c r="F446" s="64"/>
      <c r="G446" s="63"/>
    </row>
    <row r="447" spans="2:7" s="31" customFormat="1" x14ac:dyDescent="0.5">
      <c r="B447" s="43"/>
      <c r="C447" s="30"/>
      <c r="D447" s="28"/>
      <c r="E447" s="29"/>
      <c r="F447" s="64"/>
      <c r="G447" s="63"/>
    </row>
    <row r="448" spans="2:7" s="31" customFormat="1" x14ac:dyDescent="0.5">
      <c r="B448" s="43"/>
      <c r="C448" s="30"/>
      <c r="D448" s="28"/>
      <c r="E448" s="29"/>
      <c r="F448" s="64"/>
      <c r="G448" s="63"/>
    </row>
    <row r="449" spans="2:7" s="31" customFormat="1" x14ac:dyDescent="0.5">
      <c r="B449" s="43"/>
      <c r="C449" s="30"/>
      <c r="D449" s="28"/>
      <c r="E449" s="29"/>
      <c r="F449" s="64"/>
      <c r="G449" s="63"/>
    </row>
    <row r="450" spans="2:7" s="31" customFormat="1" x14ac:dyDescent="0.5">
      <c r="B450" s="43"/>
      <c r="C450" s="30"/>
      <c r="D450" s="28"/>
      <c r="E450" s="29"/>
      <c r="F450" s="64"/>
      <c r="G450" s="63"/>
    </row>
    <row r="451" spans="2:7" s="31" customFormat="1" x14ac:dyDescent="0.5">
      <c r="B451" s="43"/>
      <c r="C451" s="30"/>
      <c r="D451" s="28"/>
      <c r="E451" s="29"/>
      <c r="F451" s="64"/>
      <c r="G451" s="63"/>
    </row>
    <row r="452" spans="2:7" s="31" customFormat="1" x14ac:dyDescent="0.5">
      <c r="B452" s="43"/>
      <c r="C452" s="30"/>
      <c r="D452" s="28"/>
      <c r="E452" s="29"/>
      <c r="F452" s="64"/>
      <c r="G452" s="63"/>
    </row>
    <row r="453" spans="2:7" s="31" customFormat="1" x14ac:dyDescent="0.5">
      <c r="B453" s="43"/>
      <c r="C453" s="30"/>
      <c r="D453" s="28"/>
      <c r="E453" s="29"/>
      <c r="F453" s="64"/>
      <c r="G453" s="63"/>
    </row>
    <row r="454" spans="2:7" s="31" customFormat="1" x14ac:dyDescent="0.5">
      <c r="B454" s="43"/>
      <c r="C454" s="30"/>
      <c r="D454" s="28"/>
      <c r="E454" s="29"/>
      <c r="F454" s="64"/>
      <c r="G454" s="63"/>
    </row>
    <row r="455" spans="2:7" s="31" customFormat="1" x14ac:dyDescent="0.5">
      <c r="B455" s="43"/>
      <c r="C455" s="30"/>
      <c r="D455" s="28"/>
      <c r="E455" s="29"/>
      <c r="F455" s="64"/>
      <c r="G455" s="63"/>
    </row>
    <row r="456" spans="2:7" s="31" customFormat="1" x14ac:dyDescent="0.5">
      <c r="B456" s="43"/>
      <c r="C456" s="30"/>
      <c r="D456" s="28"/>
      <c r="E456" s="29"/>
      <c r="F456" s="64"/>
      <c r="G456" s="63"/>
    </row>
    <row r="457" spans="2:7" s="31" customFormat="1" x14ac:dyDescent="0.5">
      <c r="B457" s="43"/>
      <c r="C457" s="30"/>
      <c r="D457" s="28"/>
      <c r="E457" s="29"/>
      <c r="F457" s="64"/>
      <c r="G457" s="63"/>
    </row>
    <row r="458" spans="2:7" s="31" customFormat="1" x14ac:dyDescent="0.5">
      <c r="B458" s="43"/>
      <c r="C458" s="30"/>
      <c r="D458" s="28"/>
      <c r="E458" s="29"/>
      <c r="F458" s="64"/>
      <c r="G458" s="63"/>
    </row>
    <row r="459" spans="2:7" s="31" customFormat="1" x14ac:dyDescent="0.5">
      <c r="B459" s="43"/>
      <c r="C459" s="30"/>
      <c r="D459" s="28"/>
      <c r="E459" s="29"/>
      <c r="F459" s="64"/>
      <c r="G459" s="63"/>
    </row>
    <row r="460" spans="2:7" s="31" customFormat="1" x14ac:dyDescent="0.5">
      <c r="B460" s="43"/>
      <c r="C460" s="30"/>
      <c r="D460" s="28"/>
      <c r="E460" s="29"/>
      <c r="F460" s="64"/>
      <c r="G460" s="63"/>
    </row>
    <row r="461" spans="2:7" s="31" customFormat="1" x14ac:dyDescent="0.5">
      <c r="B461" s="43"/>
      <c r="C461" s="30"/>
      <c r="D461" s="28"/>
      <c r="E461" s="29"/>
      <c r="F461" s="64"/>
      <c r="G461" s="63"/>
    </row>
    <row r="462" spans="2:7" s="31" customFormat="1" x14ac:dyDescent="0.5">
      <c r="B462" s="43"/>
      <c r="C462" s="30"/>
      <c r="D462" s="28"/>
      <c r="E462" s="29"/>
      <c r="F462" s="64"/>
      <c r="G462" s="63"/>
    </row>
    <row r="463" spans="2:7" s="31" customFormat="1" x14ac:dyDescent="0.5">
      <c r="B463" s="43"/>
      <c r="C463" s="30"/>
      <c r="D463" s="28"/>
      <c r="E463" s="29"/>
      <c r="F463" s="64"/>
      <c r="G463" s="63"/>
    </row>
    <row r="464" spans="2:7" s="31" customFormat="1" x14ac:dyDescent="0.5">
      <c r="B464" s="43"/>
      <c r="C464" s="30"/>
      <c r="D464" s="28"/>
      <c r="E464" s="29"/>
      <c r="F464" s="64"/>
      <c r="G464" s="63"/>
    </row>
    <row r="465" spans="2:7" s="31" customFormat="1" x14ac:dyDescent="0.5">
      <c r="B465" s="43"/>
      <c r="C465" s="30"/>
      <c r="D465" s="28"/>
      <c r="E465" s="29"/>
      <c r="F465" s="64"/>
      <c r="G465" s="63"/>
    </row>
    <row r="466" spans="2:7" s="31" customFormat="1" x14ac:dyDescent="0.5">
      <c r="B466" s="43"/>
      <c r="C466" s="30"/>
      <c r="D466" s="28"/>
      <c r="E466" s="29"/>
      <c r="F466" s="64"/>
      <c r="G466" s="63"/>
    </row>
    <row r="467" spans="2:7" s="31" customFormat="1" x14ac:dyDescent="0.5">
      <c r="B467" s="43"/>
      <c r="C467" s="30"/>
      <c r="D467" s="28"/>
      <c r="E467" s="29"/>
      <c r="F467" s="64"/>
      <c r="G467" s="63"/>
    </row>
    <row r="468" spans="2:7" s="31" customFormat="1" x14ac:dyDescent="0.5">
      <c r="B468" s="43"/>
      <c r="C468" s="30"/>
      <c r="D468" s="28"/>
      <c r="E468" s="29"/>
      <c r="F468" s="64"/>
      <c r="G468" s="63"/>
    </row>
    <row r="469" spans="2:7" s="31" customFormat="1" x14ac:dyDescent="0.5">
      <c r="B469" s="43"/>
      <c r="C469" s="30"/>
      <c r="D469" s="28"/>
      <c r="E469" s="29"/>
      <c r="F469" s="64"/>
      <c r="G469" s="63"/>
    </row>
    <row r="470" spans="2:7" s="31" customFormat="1" x14ac:dyDescent="0.5">
      <c r="B470" s="43"/>
      <c r="C470" s="30"/>
      <c r="D470" s="28"/>
      <c r="E470" s="29"/>
      <c r="F470" s="64"/>
      <c r="G470" s="63"/>
    </row>
    <row r="471" spans="2:7" s="31" customFormat="1" x14ac:dyDescent="0.5">
      <c r="B471" s="43"/>
      <c r="C471" s="30"/>
      <c r="D471" s="28"/>
      <c r="E471" s="29"/>
      <c r="F471" s="64"/>
      <c r="G471" s="63"/>
    </row>
    <row r="472" spans="2:7" s="31" customFormat="1" x14ac:dyDescent="0.5">
      <c r="B472" s="43"/>
      <c r="C472" s="30"/>
      <c r="D472" s="28"/>
      <c r="E472" s="29"/>
      <c r="F472" s="64"/>
      <c r="G472" s="63"/>
    </row>
    <row r="473" spans="2:7" s="31" customFormat="1" x14ac:dyDescent="0.5">
      <c r="B473" s="43"/>
      <c r="C473" s="30"/>
      <c r="D473" s="28"/>
      <c r="E473" s="29"/>
      <c r="F473" s="64"/>
      <c r="G473" s="63"/>
    </row>
    <row r="474" spans="2:7" s="31" customFormat="1" x14ac:dyDescent="0.5">
      <c r="B474" s="43"/>
      <c r="C474" s="30"/>
      <c r="D474" s="28"/>
      <c r="E474" s="29"/>
      <c r="F474" s="64"/>
      <c r="G474" s="63"/>
    </row>
    <row r="475" spans="2:7" s="31" customFormat="1" x14ac:dyDescent="0.5">
      <c r="B475" s="43"/>
      <c r="C475" s="30"/>
      <c r="D475" s="28"/>
      <c r="E475" s="29"/>
      <c r="F475" s="64"/>
      <c r="G475" s="63"/>
    </row>
    <row r="476" spans="2:7" s="31" customFormat="1" x14ac:dyDescent="0.5">
      <c r="B476" s="43"/>
      <c r="C476" s="30"/>
      <c r="D476" s="28"/>
      <c r="E476" s="29"/>
      <c r="F476" s="64"/>
      <c r="G476" s="63"/>
    </row>
    <row r="477" spans="2:7" s="31" customFormat="1" x14ac:dyDescent="0.5">
      <c r="B477" s="43"/>
      <c r="C477" s="30"/>
      <c r="D477" s="28"/>
      <c r="E477" s="29"/>
      <c r="F477" s="64"/>
      <c r="G477" s="63"/>
    </row>
    <row r="478" spans="2:7" s="31" customFormat="1" x14ac:dyDescent="0.5">
      <c r="B478" s="43"/>
      <c r="C478" s="30"/>
      <c r="D478" s="28"/>
      <c r="E478" s="29"/>
      <c r="F478" s="64"/>
      <c r="G478" s="63"/>
    </row>
    <row r="479" spans="2:7" s="31" customFormat="1" x14ac:dyDescent="0.5">
      <c r="B479" s="43"/>
      <c r="C479" s="30"/>
      <c r="D479" s="28"/>
      <c r="E479" s="29"/>
      <c r="F479" s="64"/>
      <c r="G479" s="63"/>
    </row>
    <row r="480" spans="2:7" s="31" customFormat="1" x14ac:dyDescent="0.5">
      <c r="B480" s="43"/>
      <c r="C480" s="30"/>
      <c r="D480" s="28"/>
      <c r="E480" s="29"/>
      <c r="F480" s="64"/>
      <c r="G480" s="63"/>
    </row>
    <row r="481" spans="2:7" s="31" customFormat="1" x14ac:dyDescent="0.5">
      <c r="B481" s="43"/>
      <c r="C481" s="30"/>
      <c r="D481" s="28"/>
      <c r="E481" s="29"/>
      <c r="F481" s="64"/>
      <c r="G481" s="63"/>
    </row>
    <row r="482" spans="2:7" s="31" customFormat="1" x14ac:dyDescent="0.5">
      <c r="B482" s="43"/>
      <c r="C482" s="30"/>
      <c r="D482" s="28"/>
      <c r="E482" s="29"/>
      <c r="F482" s="64"/>
      <c r="G482" s="63"/>
    </row>
    <row r="483" spans="2:7" s="31" customFormat="1" x14ac:dyDescent="0.5">
      <c r="B483" s="43"/>
      <c r="C483" s="30"/>
      <c r="D483" s="28"/>
      <c r="E483" s="29"/>
      <c r="F483" s="64"/>
      <c r="G483" s="63"/>
    </row>
    <row r="484" spans="2:7" s="31" customFormat="1" x14ac:dyDescent="0.5">
      <c r="B484" s="43"/>
      <c r="C484" s="30"/>
      <c r="D484" s="28"/>
      <c r="E484" s="29"/>
      <c r="F484" s="64"/>
      <c r="G484" s="63"/>
    </row>
    <row r="485" spans="2:7" s="31" customFormat="1" x14ac:dyDescent="0.5">
      <c r="B485" s="43"/>
      <c r="C485" s="30"/>
      <c r="D485" s="28"/>
      <c r="E485" s="29"/>
      <c r="F485" s="64"/>
      <c r="G485" s="63"/>
    </row>
    <row r="486" spans="2:7" s="31" customFormat="1" x14ac:dyDescent="0.5">
      <c r="B486" s="43"/>
      <c r="C486" s="30"/>
      <c r="D486" s="28"/>
      <c r="E486" s="29"/>
      <c r="F486" s="64"/>
      <c r="G486" s="63"/>
    </row>
    <row r="487" spans="2:7" s="31" customFormat="1" x14ac:dyDescent="0.5">
      <c r="B487" s="43"/>
      <c r="C487" s="30"/>
      <c r="D487" s="28"/>
      <c r="E487" s="29"/>
      <c r="F487" s="64"/>
      <c r="G487" s="63"/>
    </row>
    <row r="488" spans="2:7" s="31" customFormat="1" x14ac:dyDescent="0.5">
      <c r="B488" s="43"/>
      <c r="C488" s="30"/>
      <c r="D488" s="28"/>
      <c r="E488" s="29"/>
      <c r="F488" s="64"/>
      <c r="G488" s="63"/>
    </row>
    <row r="489" spans="2:7" s="31" customFormat="1" x14ac:dyDescent="0.5">
      <c r="B489" s="43"/>
      <c r="C489" s="30"/>
      <c r="D489" s="28"/>
      <c r="E489" s="29"/>
      <c r="F489" s="64"/>
      <c r="G489" s="63"/>
    </row>
    <row r="490" spans="2:7" s="31" customFormat="1" x14ac:dyDescent="0.5">
      <c r="B490" s="43"/>
      <c r="C490" s="30"/>
      <c r="D490" s="28"/>
      <c r="E490" s="29"/>
      <c r="F490" s="64"/>
      <c r="G490" s="63"/>
    </row>
    <row r="491" spans="2:7" s="31" customFormat="1" x14ac:dyDescent="0.5">
      <c r="B491" s="43"/>
      <c r="C491" s="30"/>
      <c r="D491" s="28"/>
      <c r="E491" s="29"/>
      <c r="F491" s="64"/>
      <c r="G491" s="63"/>
    </row>
    <row r="492" spans="2:7" s="31" customFormat="1" x14ac:dyDescent="0.5">
      <c r="B492" s="43"/>
      <c r="C492" s="30"/>
      <c r="D492" s="28"/>
      <c r="E492" s="29"/>
      <c r="F492" s="64"/>
      <c r="G492" s="63"/>
    </row>
    <row r="493" spans="2:7" s="31" customFormat="1" x14ac:dyDescent="0.5">
      <c r="B493" s="43"/>
      <c r="C493" s="30"/>
      <c r="D493" s="28"/>
      <c r="E493" s="29"/>
      <c r="F493" s="64"/>
      <c r="G493" s="63"/>
    </row>
    <row r="494" spans="2:7" s="31" customFormat="1" x14ac:dyDescent="0.5">
      <c r="B494" s="43"/>
      <c r="C494" s="30"/>
      <c r="D494" s="28"/>
      <c r="E494" s="29"/>
      <c r="F494" s="64"/>
      <c r="G494" s="63"/>
    </row>
    <row r="495" spans="2:7" s="31" customFormat="1" x14ac:dyDescent="0.5">
      <c r="B495" s="43"/>
      <c r="C495" s="30"/>
      <c r="D495" s="28"/>
      <c r="E495" s="29"/>
      <c r="F495" s="64"/>
      <c r="G495" s="63"/>
    </row>
    <row r="496" spans="2:7" s="31" customFormat="1" x14ac:dyDescent="0.5">
      <c r="B496" s="43"/>
      <c r="C496" s="30"/>
      <c r="D496" s="28"/>
      <c r="E496" s="29"/>
      <c r="F496" s="64"/>
      <c r="G496" s="63"/>
    </row>
    <row r="497" spans="2:7" s="31" customFormat="1" x14ac:dyDescent="0.5">
      <c r="B497" s="43"/>
      <c r="C497" s="30"/>
      <c r="D497" s="28"/>
      <c r="E497" s="29"/>
      <c r="F497" s="64"/>
      <c r="G497" s="63"/>
    </row>
    <row r="498" spans="2:7" s="31" customFormat="1" x14ac:dyDescent="0.5">
      <c r="B498" s="43"/>
      <c r="C498" s="30"/>
      <c r="D498" s="28"/>
      <c r="E498" s="29"/>
      <c r="F498" s="64"/>
      <c r="G498" s="63"/>
    </row>
    <row r="499" spans="2:7" s="31" customFormat="1" x14ac:dyDescent="0.5">
      <c r="B499" s="43"/>
      <c r="C499" s="30"/>
      <c r="D499" s="28"/>
      <c r="E499" s="29"/>
      <c r="F499" s="64"/>
      <c r="G499" s="63"/>
    </row>
    <row r="500" spans="2:7" s="31" customFormat="1" x14ac:dyDescent="0.5">
      <c r="B500" s="43"/>
      <c r="C500" s="30"/>
      <c r="D500" s="28"/>
      <c r="E500" s="29"/>
      <c r="F500" s="64"/>
      <c r="G500" s="63"/>
    </row>
    <row r="501" spans="2:7" s="31" customFormat="1" x14ac:dyDescent="0.5">
      <c r="B501" s="43"/>
      <c r="C501" s="30"/>
      <c r="D501" s="28"/>
      <c r="E501" s="29"/>
      <c r="F501" s="64"/>
      <c r="G501" s="63"/>
    </row>
    <row r="502" spans="2:7" s="31" customFormat="1" x14ac:dyDescent="0.5">
      <c r="B502" s="43"/>
      <c r="C502" s="30"/>
      <c r="D502" s="28"/>
      <c r="E502" s="29"/>
      <c r="F502" s="64"/>
      <c r="G502" s="63"/>
    </row>
    <row r="503" spans="2:7" s="31" customFormat="1" x14ac:dyDescent="0.5">
      <c r="B503" s="43"/>
      <c r="C503" s="30"/>
      <c r="D503" s="28"/>
      <c r="E503" s="29"/>
      <c r="F503" s="64"/>
      <c r="G503" s="63"/>
    </row>
    <row r="504" spans="2:7" s="31" customFormat="1" x14ac:dyDescent="0.5">
      <c r="B504" s="43"/>
      <c r="C504" s="30"/>
      <c r="D504" s="28"/>
      <c r="E504" s="29"/>
      <c r="F504" s="64"/>
      <c r="G504" s="63"/>
    </row>
    <row r="505" spans="2:7" s="31" customFormat="1" x14ac:dyDescent="0.5">
      <c r="B505" s="43"/>
      <c r="C505" s="30"/>
      <c r="D505" s="28"/>
      <c r="E505" s="29"/>
      <c r="F505" s="64"/>
      <c r="G505" s="63"/>
    </row>
    <row r="506" spans="2:7" s="31" customFormat="1" x14ac:dyDescent="0.5">
      <c r="B506" s="43"/>
      <c r="C506" s="30"/>
      <c r="D506" s="28"/>
      <c r="E506" s="29"/>
      <c r="F506" s="64"/>
      <c r="G506" s="63"/>
    </row>
    <row r="507" spans="2:7" s="31" customFormat="1" x14ac:dyDescent="0.5">
      <c r="B507" s="43"/>
      <c r="C507" s="30"/>
      <c r="D507" s="28"/>
      <c r="E507" s="29"/>
      <c r="F507" s="64"/>
      <c r="G507" s="63"/>
    </row>
    <row r="508" spans="2:7" s="31" customFormat="1" x14ac:dyDescent="0.5">
      <c r="B508" s="43"/>
      <c r="C508" s="30"/>
      <c r="D508" s="28"/>
      <c r="E508" s="29"/>
      <c r="F508" s="64"/>
      <c r="G508" s="63"/>
    </row>
    <row r="509" spans="2:7" s="31" customFormat="1" x14ac:dyDescent="0.5">
      <c r="B509" s="43"/>
      <c r="C509" s="30"/>
      <c r="D509" s="28"/>
      <c r="E509" s="29"/>
      <c r="F509" s="64"/>
      <c r="G509" s="63"/>
    </row>
    <row r="510" spans="2:7" s="31" customFormat="1" x14ac:dyDescent="0.5">
      <c r="B510" s="43"/>
      <c r="C510" s="30"/>
      <c r="D510" s="28"/>
      <c r="E510" s="29"/>
      <c r="F510" s="64"/>
      <c r="G510" s="63"/>
    </row>
    <row r="511" spans="2:7" s="31" customFormat="1" x14ac:dyDescent="0.5">
      <c r="B511" s="43"/>
      <c r="C511" s="30"/>
      <c r="D511" s="28"/>
      <c r="E511" s="29"/>
      <c r="F511" s="64"/>
      <c r="G511" s="63"/>
    </row>
    <row r="512" spans="2:7" s="31" customFormat="1" x14ac:dyDescent="0.5">
      <c r="B512" s="43"/>
      <c r="C512" s="30"/>
      <c r="D512" s="28"/>
      <c r="E512" s="29"/>
      <c r="F512" s="64"/>
      <c r="G512" s="63"/>
    </row>
    <row r="513" spans="2:7" s="31" customFormat="1" x14ac:dyDescent="0.5">
      <c r="B513" s="43"/>
      <c r="C513" s="30"/>
      <c r="D513" s="28"/>
      <c r="E513" s="29"/>
      <c r="F513" s="64"/>
      <c r="G513" s="63"/>
    </row>
    <row r="514" spans="2:7" s="31" customFormat="1" x14ac:dyDescent="0.5">
      <c r="B514" s="43"/>
      <c r="C514" s="30"/>
      <c r="D514" s="28"/>
      <c r="E514" s="29"/>
      <c r="F514" s="64"/>
      <c r="G514" s="63"/>
    </row>
    <row r="515" spans="2:7" s="31" customFormat="1" x14ac:dyDescent="0.5">
      <c r="B515" s="43"/>
      <c r="C515" s="30"/>
      <c r="D515" s="28"/>
      <c r="E515" s="29"/>
      <c r="F515" s="64"/>
      <c r="G515" s="63"/>
    </row>
    <row r="516" spans="2:7" s="31" customFormat="1" x14ac:dyDescent="0.5">
      <c r="B516" s="43"/>
      <c r="C516" s="30"/>
      <c r="D516" s="28"/>
      <c r="E516" s="29"/>
      <c r="F516" s="64"/>
      <c r="G516" s="63"/>
    </row>
    <row r="517" spans="2:7" s="31" customFormat="1" x14ac:dyDescent="0.5">
      <c r="B517" s="43"/>
      <c r="C517" s="30"/>
      <c r="D517" s="28"/>
      <c r="E517" s="29"/>
      <c r="F517" s="64"/>
      <c r="G517" s="63"/>
    </row>
    <row r="518" spans="2:7" s="31" customFormat="1" x14ac:dyDescent="0.5">
      <c r="B518" s="43"/>
      <c r="C518" s="30"/>
      <c r="D518" s="28"/>
      <c r="E518" s="29"/>
      <c r="F518" s="64"/>
      <c r="G518" s="63"/>
    </row>
    <row r="519" spans="2:7" s="31" customFormat="1" x14ac:dyDescent="0.5">
      <c r="B519" s="43"/>
      <c r="C519" s="30"/>
      <c r="D519" s="28"/>
      <c r="E519" s="29"/>
      <c r="F519" s="64"/>
      <c r="G519" s="63"/>
    </row>
    <row r="520" spans="2:7" s="31" customFormat="1" x14ac:dyDescent="0.5">
      <c r="B520" s="43"/>
      <c r="C520" s="30"/>
      <c r="D520" s="28"/>
      <c r="E520" s="29"/>
      <c r="F520" s="64"/>
      <c r="G520" s="63"/>
    </row>
    <row r="521" spans="2:7" s="31" customFormat="1" x14ac:dyDescent="0.5">
      <c r="B521" s="43"/>
      <c r="C521" s="30"/>
      <c r="D521" s="28"/>
      <c r="E521" s="29"/>
      <c r="F521" s="64"/>
      <c r="G521" s="63"/>
    </row>
    <row r="522" spans="2:7" s="31" customFormat="1" x14ac:dyDescent="0.5">
      <c r="B522" s="43"/>
      <c r="C522" s="30"/>
      <c r="D522" s="28"/>
      <c r="E522" s="29"/>
      <c r="F522" s="64"/>
      <c r="G522" s="63"/>
    </row>
    <row r="523" spans="2:7" s="31" customFormat="1" x14ac:dyDescent="0.5">
      <c r="B523" s="43"/>
      <c r="C523" s="30"/>
      <c r="D523" s="28"/>
      <c r="E523" s="29"/>
      <c r="F523" s="64"/>
      <c r="G523" s="63"/>
    </row>
    <row r="524" spans="2:7" s="31" customFormat="1" x14ac:dyDescent="0.5">
      <c r="B524" s="43"/>
      <c r="C524" s="30"/>
      <c r="D524" s="28"/>
      <c r="E524" s="29"/>
      <c r="F524" s="64"/>
      <c r="G524" s="63"/>
    </row>
    <row r="525" spans="2:7" s="31" customFormat="1" x14ac:dyDescent="0.5">
      <c r="B525" s="43"/>
      <c r="C525" s="30"/>
      <c r="D525" s="28"/>
      <c r="E525" s="29"/>
      <c r="F525" s="64"/>
      <c r="G525" s="63"/>
    </row>
    <row r="526" spans="2:7" s="31" customFormat="1" x14ac:dyDescent="0.5">
      <c r="B526" s="43"/>
      <c r="C526" s="30"/>
      <c r="D526" s="28"/>
      <c r="E526" s="29"/>
      <c r="F526" s="64"/>
      <c r="G526" s="63"/>
    </row>
    <row r="527" spans="2:7" s="31" customFormat="1" x14ac:dyDescent="0.5">
      <c r="B527" s="43"/>
      <c r="C527" s="30"/>
      <c r="D527" s="28"/>
      <c r="E527" s="29"/>
      <c r="F527" s="64"/>
      <c r="G527" s="63"/>
    </row>
    <row r="528" spans="2:7" s="31" customFormat="1" x14ac:dyDescent="0.5">
      <c r="B528" s="43"/>
      <c r="C528" s="30"/>
      <c r="D528" s="28"/>
      <c r="E528" s="29"/>
      <c r="F528" s="64"/>
      <c r="G528" s="63"/>
    </row>
    <row r="529" spans="2:7" s="31" customFormat="1" x14ac:dyDescent="0.5">
      <c r="B529" s="43"/>
      <c r="C529" s="30"/>
      <c r="D529" s="28"/>
      <c r="E529" s="29"/>
      <c r="F529" s="64"/>
      <c r="G529" s="63"/>
    </row>
    <row r="530" spans="2:7" s="31" customFormat="1" x14ac:dyDescent="0.5">
      <c r="B530" s="43"/>
      <c r="C530" s="30"/>
      <c r="D530" s="28"/>
      <c r="E530" s="29"/>
      <c r="F530" s="64"/>
      <c r="G530" s="63"/>
    </row>
    <row r="531" spans="2:7" s="31" customFormat="1" x14ac:dyDescent="0.5">
      <c r="B531" s="43"/>
      <c r="C531" s="30"/>
      <c r="D531" s="28"/>
      <c r="E531" s="29"/>
      <c r="F531" s="64"/>
      <c r="G531" s="63"/>
    </row>
    <row r="532" spans="2:7" s="31" customFormat="1" x14ac:dyDescent="0.5">
      <c r="B532" s="43"/>
      <c r="C532" s="30"/>
      <c r="D532" s="28"/>
      <c r="E532" s="29"/>
      <c r="F532" s="64"/>
      <c r="G532" s="63"/>
    </row>
    <row r="533" spans="2:7" s="31" customFormat="1" x14ac:dyDescent="0.5">
      <c r="B533" s="43"/>
      <c r="C533" s="30"/>
      <c r="D533" s="28"/>
      <c r="E533" s="29"/>
      <c r="F533" s="64"/>
      <c r="G533" s="63"/>
    </row>
    <row r="534" spans="2:7" s="31" customFormat="1" x14ac:dyDescent="0.5">
      <c r="B534" s="43"/>
      <c r="C534" s="30"/>
      <c r="D534" s="28"/>
      <c r="E534" s="29"/>
      <c r="F534" s="64"/>
      <c r="G534" s="63"/>
    </row>
    <row r="535" spans="2:7" s="31" customFormat="1" x14ac:dyDescent="0.5">
      <c r="B535" s="43"/>
      <c r="C535" s="30"/>
      <c r="D535" s="28"/>
      <c r="E535" s="29"/>
      <c r="F535" s="64"/>
      <c r="G535" s="63"/>
    </row>
    <row r="536" spans="2:7" s="31" customFormat="1" x14ac:dyDescent="0.5">
      <c r="B536" s="43"/>
      <c r="C536" s="30"/>
      <c r="D536" s="28"/>
      <c r="E536" s="29"/>
      <c r="F536" s="64"/>
      <c r="G536" s="63"/>
    </row>
    <row r="537" spans="2:7" s="31" customFormat="1" x14ac:dyDescent="0.5">
      <c r="B537" s="43"/>
      <c r="C537" s="30"/>
      <c r="D537" s="28"/>
      <c r="E537" s="29"/>
      <c r="F537" s="64"/>
      <c r="G537" s="63"/>
    </row>
    <row r="538" spans="2:7" s="31" customFormat="1" x14ac:dyDescent="0.5">
      <c r="B538" s="43"/>
      <c r="C538" s="30"/>
      <c r="D538" s="28"/>
      <c r="E538" s="29"/>
      <c r="F538" s="64"/>
      <c r="G538" s="63"/>
    </row>
    <row r="539" spans="2:7" s="31" customFormat="1" x14ac:dyDescent="0.5">
      <c r="B539" s="43"/>
      <c r="C539" s="30"/>
      <c r="D539" s="28"/>
      <c r="E539" s="29"/>
      <c r="F539" s="64"/>
      <c r="G539" s="63"/>
    </row>
    <row r="540" spans="2:7" s="31" customFormat="1" x14ac:dyDescent="0.5">
      <c r="B540" s="43"/>
      <c r="C540" s="30"/>
      <c r="D540" s="28"/>
      <c r="E540" s="29"/>
      <c r="F540" s="64"/>
      <c r="G540" s="63"/>
    </row>
    <row r="541" spans="2:7" s="31" customFormat="1" x14ac:dyDescent="0.5">
      <c r="B541" s="43"/>
      <c r="C541" s="30"/>
      <c r="D541" s="28"/>
      <c r="E541" s="29"/>
      <c r="F541" s="64"/>
      <c r="G541" s="63"/>
    </row>
    <row r="542" spans="2:7" s="31" customFormat="1" x14ac:dyDescent="0.5">
      <c r="B542" s="43"/>
      <c r="C542" s="30"/>
      <c r="D542" s="28"/>
      <c r="E542" s="29"/>
      <c r="F542" s="64"/>
      <c r="G542" s="63"/>
    </row>
    <row r="543" spans="2:7" s="31" customFormat="1" x14ac:dyDescent="0.5">
      <c r="B543" s="43"/>
      <c r="C543" s="30"/>
      <c r="D543" s="28"/>
      <c r="E543" s="29"/>
      <c r="F543" s="64"/>
      <c r="G543" s="63"/>
    </row>
    <row r="544" spans="2:7" s="31" customFormat="1" x14ac:dyDescent="0.5">
      <c r="B544" s="43"/>
      <c r="C544" s="30"/>
      <c r="D544" s="28"/>
      <c r="E544" s="29"/>
      <c r="F544" s="64"/>
      <c r="G544" s="63"/>
    </row>
    <row r="545" spans="2:7" s="31" customFormat="1" x14ac:dyDescent="0.5">
      <c r="B545" s="43"/>
      <c r="C545" s="30"/>
      <c r="D545" s="28"/>
      <c r="E545" s="29"/>
      <c r="F545" s="64"/>
      <c r="G545" s="63"/>
    </row>
    <row r="546" spans="2:7" s="31" customFormat="1" x14ac:dyDescent="0.5">
      <c r="B546" s="43"/>
      <c r="C546" s="30"/>
      <c r="D546" s="28"/>
      <c r="E546" s="29"/>
      <c r="F546" s="64"/>
      <c r="G546" s="63"/>
    </row>
    <row r="547" spans="2:7" s="31" customFormat="1" x14ac:dyDescent="0.5">
      <c r="B547" s="43"/>
      <c r="C547" s="30"/>
      <c r="D547" s="28"/>
      <c r="E547" s="29"/>
      <c r="F547" s="64"/>
      <c r="G547" s="63"/>
    </row>
    <row r="548" spans="2:7" s="31" customFormat="1" x14ac:dyDescent="0.5">
      <c r="B548" s="43"/>
      <c r="C548" s="30"/>
      <c r="D548" s="28"/>
      <c r="E548" s="29"/>
      <c r="F548" s="64"/>
      <c r="G548" s="63"/>
    </row>
    <row r="549" spans="2:7" s="31" customFormat="1" x14ac:dyDescent="0.5">
      <c r="B549" s="43"/>
      <c r="C549" s="30"/>
      <c r="D549" s="28"/>
      <c r="E549" s="29"/>
      <c r="F549" s="64"/>
      <c r="G549" s="63"/>
    </row>
    <row r="550" spans="2:7" s="31" customFormat="1" x14ac:dyDescent="0.5">
      <c r="B550" s="43"/>
      <c r="C550" s="30"/>
      <c r="D550" s="28"/>
      <c r="E550" s="29"/>
      <c r="F550" s="64"/>
      <c r="G550" s="63"/>
    </row>
    <row r="551" spans="2:7" s="31" customFormat="1" x14ac:dyDescent="0.5">
      <c r="B551" s="43"/>
      <c r="C551" s="30"/>
      <c r="D551" s="28"/>
      <c r="E551" s="29"/>
      <c r="F551" s="64"/>
      <c r="G551" s="63"/>
    </row>
    <row r="552" spans="2:7" s="31" customFormat="1" x14ac:dyDescent="0.5">
      <c r="B552" s="43"/>
      <c r="C552" s="30"/>
      <c r="D552" s="28"/>
      <c r="E552" s="29"/>
      <c r="F552" s="64"/>
      <c r="G552" s="63"/>
    </row>
    <row r="553" spans="2:7" s="31" customFormat="1" x14ac:dyDescent="0.5">
      <c r="B553" s="43"/>
      <c r="C553" s="30"/>
      <c r="D553" s="28"/>
      <c r="E553" s="29"/>
      <c r="F553" s="64"/>
      <c r="G553" s="63"/>
    </row>
    <row r="554" spans="2:7" s="31" customFormat="1" x14ac:dyDescent="0.5">
      <c r="B554" s="43"/>
      <c r="C554" s="30"/>
      <c r="D554" s="28"/>
      <c r="E554" s="29"/>
      <c r="F554" s="64"/>
      <c r="G554" s="63"/>
    </row>
    <row r="555" spans="2:7" s="31" customFormat="1" x14ac:dyDescent="0.5">
      <c r="B555" s="43"/>
      <c r="C555" s="30"/>
      <c r="D555" s="28"/>
      <c r="E555" s="29"/>
      <c r="F555" s="64"/>
      <c r="G555" s="63"/>
    </row>
    <row r="556" spans="2:7" s="31" customFormat="1" x14ac:dyDescent="0.5">
      <c r="B556" s="43"/>
      <c r="C556" s="30"/>
      <c r="D556" s="28"/>
      <c r="E556" s="29"/>
      <c r="F556" s="64"/>
      <c r="G556" s="63"/>
    </row>
    <row r="557" spans="2:7" s="31" customFormat="1" x14ac:dyDescent="0.5">
      <c r="B557" s="43"/>
      <c r="C557" s="30"/>
      <c r="D557" s="28"/>
      <c r="E557" s="29"/>
      <c r="F557" s="64"/>
      <c r="G557" s="63"/>
    </row>
    <row r="558" spans="2:7" s="31" customFormat="1" x14ac:dyDescent="0.5">
      <c r="B558" s="43"/>
      <c r="C558" s="30"/>
      <c r="D558" s="28"/>
      <c r="E558" s="29"/>
      <c r="F558" s="64"/>
      <c r="G558" s="63"/>
    </row>
    <row r="559" spans="2:7" s="31" customFormat="1" x14ac:dyDescent="0.5">
      <c r="B559" s="43"/>
      <c r="C559" s="30"/>
      <c r="D559" s="28"/>
      <c r="E559" s="29"/>
      <c r="F559" s="64"/>
      <c r="G559" s="63"/>
    </row>
    <row r="560" spans="2:7" s="31" customFormat="1" x14ac:dyDescent="0.5">
      <c r="B560" s="43"/>
      <c r="C560" s="30"/>
      <c r="D560" s="28"/>
      <c r="E560" s="29"/>
      <c r="F560" s="64"/>
      <c r="G560" s="63"/>
    </row>
    <row r="561" spans="2:7" s="31" customFormat="1" x14ac:dyDescent="0.5">
      <c r="B561" s="43"/>
      <c r="C561" s="30"/>
      <c r="D561" s="28"/>
      <c r="E561" s="29"/>
      <c r="F561" s="64"/>
      <c r="G561" s="63"/>
    </row>
    <row r="562" spans="2:7" s="31" customFormat="1" x14ac:dyDescent="0.5">
      <c r="B562" s="43"/>
      <c r="C562" s="30"/>
      <c r="D562" s="28"/>
      <c r="E562" s="29"/>
      <c r="F562" s="64"/>
      <c r="G562" s="63"/>
    </row>
    <row r="563" spans="2:7" s="31" customFormat="1" x14ac:dyDescent="0.5">
      <c r="B563" s="43"/>
      <c r="C563" s="30"/>
      <c r="D563" s="28"/>
      <c r="E563" s="29"/>
      <c r="F563" s="64"/>
      <c r="G563" s="63"/>
    </row>
    <row r="564" spans="2:7" s="31" customFormat="1" x14ac:dyDescent="0.5">
      <c r="B564" s="43"/>
      <c r="C564" s="30"/>
      <c r="D564" s="28"/>
      <c r="E564" s="29"/>
      <c r="F564" s="64"/>
      <c r="G564" s="63"/>
    </row>
    <row r="565" spans="2:7" s="31" customFormat="1" x14ac:dyDescent="0.5">
      <c r="B565" s="43"/>
      <c r="C565" s="30"/>
      <c r="D565" s="28"/>
      <c r="E565" s="29"/>
      <c r="F565" s="64"/>
      <c r="G565" s="63"/>
    </row>
    <row r="566" spans="2:7" s="31" customFormat="1" x14ac:dyDescent="0.5">
      <c r="B566" s="43"/>
      <c r="C566" s="30"/>
      <c r="D566" s="28"/>
      <c r="E566" s="29"/>
      <c r="F566" s="64"/>
      <c r="G566" s="63"/>
    </row>
    <row r="567" spans="2:7" s="31" customFormat="1" x14ac:dyDescent="0.5">
      <c r="B567" s="43"/>
      <c r="C567" s="30"/>
      <c r="D567" s="28"/>
      <c r="E567" s="29"/>
      <c r="F567" s="64"/>
      <c r="G567" s="63"/>
    </row>
    <row r="568" spans="2:7" s="31" customFormat="1" x14ac:dyDescent="0.5">
      <c r="B568" s="43"/>
      <c r="C568" s="30"/>
      <c r="D568" s="28"/>
      <c r="E568" s="29"/>
      <c r="F568" s="64"/>
      <c r="G568" s="63"/>
    </row>
    <row r="569" spans="2:7" s="31" customFormat="1" x14ac:dyDescent="0.5">
      <c r="B569" s="43"/>
      <c r="C569" s="30"/>
      <c r="D569" s="28"/>
      <c r="E569" s="29"/>
      <c r="F569" s="64"/>
      <c r="G569" s="63"/>
    </row>
    <row r="570" spans="2:7" s="31" customFormat="1" x14ac:dyDescent="0.5">
      <c r="B570" s="43"/>
      <c r="C570" s="30"/>
      <c r="D570" s="28"/>
      <c r="E570" s="29"/>
      <c r="F570" s="64"/>
      <c r="G570" s="63"/>
    </row>
    <row r="571" spans="2:7" s="31" customFormat="1" x14ac:dyDescent="0.5">
      <c r="B571" s="43"/>
      <c r="C571" s="30"/>
      <c r="D571" s="28"/>
      <c r="E571" s="29"/>
      <c r="F571" s="64"/>
      <c r="G571" s="63"/>
    </row>
    <row r="572" spans="2:7" s="31" customFormat="1" x14ac:dyDescent="0.5">
      <c r="B572" s="43"/>
      <c r="C572" s="30"/>
      <c r="D572" s="28"/>
      <c r="E572" s="29"/>
      <c r="F572" s="64"/>
      <c r="G572" s="63"/>
    </row>
    <row r="573" spans="2:7" s="31" customFormat="1" x14ac:dyDescent="0.5">
      <c r="B573" s="43"/>
      <c r="C573" s="30"/>
      <c r="D573" s="28"/>
      <c r="E573" s="29"/>
      <c r="F573" s="64"/>
      <c r="G573" s="63"/>
    </row>
    <row r="574" spans="2:7" s="31" customFormat="1" x14ac:dyDescent="0.5">
      <c r="B574" s="43"/>
      <c r="C574" s="30"/>
      <c r="D574" s="28"/>
      <c r="E574" s="29"/>
      <c r="F574" s="64"/>
      <c r="G574" s="63"/>
    </row>
    <row r="575" spans="2:7" s="31" customFormat="1" x14ac:dyDescent="0.5">
      <c r="B575" s="43"/>
      <c r="C575" s="30"/>
      <c r="D575" s="28"/>
      <c r="E575" s="29"/>
      <c r="F575" s="64"/>
      <c r="G575" s="63"/>
    </row>
    <row r="576" spans="2:7" s="31" customFormat="1" x14ac:dyDescent="0.5">
      <c r="B576" s="43"/>
      <c r="C576" s="30"/>
      <c r="D576" s="28"/>
      <c r="E576" s="29"/>
      <c r="F576" s="64"/>
      <c r="G576" s="63"/>
    </row>
    <row r="577" spans="2:7" s="31" customFormat="1" x14ac:dyDescent="0.5">
      <c r="B577" s="43"/>
      <c r="C577" s="30"/>
      <c r="D577" s="28"/>
      <c r="E577" s="29"/>
      <c r="F577" s="64"/>
      <c r="G577" s="63"/>
    </row>
    <row r="578" spans="2:7" s="31" customFormat="1" x14ac:dyDescent="0.5">
      <c r="B578" s="43"/>
      <c r="C578" s="30"/>
      <c r="D578" s="28"/>
      <c r="E578" s="29"/>
      <c r="F578" s="64"/>
      <c r="G578" s="63"/>
    </row>
    <row r="579" spans="2:7" s="31" customFormat="1" x14ac:dyDescent="0.5">
      <c r="B579" s="43"/>
      <c r="C579" s="30"/>
      <c r="D579" s="28"/>
      <c r="E579" s="29"/>
      <c r="F579" s="64"/>
      <c r="G579" s="63"/>
    </row>
  </sheetData>
  <mergeCells count="50">
    <mergeCell ref="B138:C138"/>
    <mergeCell ref="B49:F49"/>
    <mergeCell ref="B10:C10"/>
    <mergeCell ref="B11:C11"/>
    <mergeCell ref="B14:C14"/>
    <mergeCell ref="B15:C15"/>
    <mergeCell ref="E15:F15"/>
    <mergeCell ref="B16:C16"/>
    <mergeCell ref="B17:C17"/>
    <mergeCell ref="E17:F17"/>
    <mergeCell ref="B18:C18"/>
    <mergeCell ref="B20:C20"/>
    <mergeCell ref="B21:C21"/>
    <mergeCell ref="B116:F116"/>
    <mergeCell ref="B118:C118"/>
    <mergeCell ref="B125:F125"/>
    <mergeCell ref="B127:C127"/>
    <mergeCell ref="B136:F136"/>
    <mergeCell ref="B51:C51"/>
    <mergeCell ref="B82:F82"/>
    <mergeCell ref="B84:C84"/>
    <mergeCell ref="B94:F94"/>
    <mergeCell ref="B96:C96"/>
    <mergeCell ref="B316:C316"/>
    <mergeCell ref="B242:F242"/>
    <mergeCell ref="B244:C244"/>
    <mergeCell ref="B245:C245"/>
    <mergeCell ref="B268:F268"/>
    <mergeCell ref="B270:C270"/>
    <mergeCell ref="B271:C271"/>
    <mergeCell ref="B279:F279"/>
    <mergeCell ref="B281:C281"/>
    <mergeCell ref="B299:F299"/>
    <mergeCell ref="B301:C301"/>
    <mergeCell ref="B309:F309"/>
    <mergeCell ref="B314:F314"/>
    <mergeCell ref="C390:G390"/>
    <mergeCell ref="C385:G385"/>
    <mergeCell ref="B321:F321"/>
    <mergeCell ref="B323:C323"/>
    <mergeCell ref="B327:F327"/>
    <mergeCell ref="B329:C329"/>
    <mergeCell ref="B342:F342"/>
    <mergeCell ref="B344:F344"/>
    <mergeCell ref="B345:F345"/>
    <mergeCell ref="B346:G346"/>
    <mergeCell ref="B347:F347"/>
    <mergeCell ref="B349:C349"/>
    <mergeCell ref="B350:C350"/>
    <mergeCell ref="C374:G37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Take Off</vt:lpstr>
      <vt:lpstr>MR AND MRS Matavakwa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bmara</dc:creator>
  <cp:lastModifiedBy>Banabasi Marambire</cp:lastModifiedBy>
  <cp:lastPrinted>2023-10-05T13:28:40Z</cp:lastPrinted>
  <dcterms:created xsi:type="dcterms:W3CDTF">2022-04-23T07:58:32Z</dcterms:created>
  <dcterms:modified xsi:type="dcterms:W3CDTF">2025-10-10T05:57:43Z</dcterms:modified>
</cp:coreProperties>
</file>